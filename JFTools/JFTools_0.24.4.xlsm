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0955" windowHeight="6990" tabRatio="859"/>
  </bookViews>
  <sheets>
    <sheet name="WFA" sheetId="21" r:id="rId1"/>
    <sheet name="Statement" sheetId="31" r:id="rId2"/>
    <sheet name="Back-test" sheetId="18" state="hidden" r:id="rId3"/>
    <sheet name="Hidden Settings" sheetId="20" state="veryHidden" r:id="rId4"/>
    <sheet name="Sorting" sheetId="28" state="hidden" r:id="rId5"/>
    <sheet name="Experiments" sheetId="30" state="hidden" r:id="rId6"/>
    <sheet name="ISvsOS" sheetId="32" r:id="rId7"/>
  </sheets>
  <functionGroups/>
  <definedNames>
    <definedName name="_xlnm._FilterDatabase" localSheetId="4" hidden="1">Sorting!#REF!</definedName>
    <definedName name="DFromMixer">ISvsOS!$C$3</definedName>
    <definedName name="DFromStatement">ISvsOS!$C$7</definedName>
    <definedName name="DToMixer">ISvsOS!$C$4</definedName>
    <definedName name="DToStatement">ISvsOS!$C$8</definedName>
    <definedName name="PathMixer">ISvsOS!$C$2</definedName>
    <definedName name="PathStatement">ISvsOS!$C$6</definedName>
    <definedName name="PathTargetDir">ISvsOS!$C$10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21"/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<sst xmlns="http://schemas.openxmlformats.org/spreadsheetml/2006/main" count="285" uniqueCount="157">
  <si>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</si>
  <si>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</si>
  <si>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</si>
  <si>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</si>
  <si>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</si>
  <si>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</si>
  <si>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</si>
  <si>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</si>
  <si>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</si>
  <si>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</si>
  <si>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</si>
  <si>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</si>
  <si>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</si>
  <si>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</si>
  <si>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</si>
  <si>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</si>
  <si>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</si>
  <si>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</si>
  <si>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</si>
  <si>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</si>
  <si>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</si>
  <si>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</si>
  <si>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</si>
  <si>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</si>
  <si>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</si>
  <si>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</si>
  <si>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</si>
  <si>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</si>
  <si>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</si>
  <si>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</si>
  <si>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</si>
  <si>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</si>
  <si>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</si>
  <si>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</si>
  <si>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</si>
  <si>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</si>
  <si>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</si>
  <si>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</si>
  <si>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</si>
  <si>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</si>
  <si>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</si>
  <si>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</si>
  <si>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</si>
  <si>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</si>
  <si>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</si>
  <si>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</si>
  <si>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</si>
  <si>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</si>
  <si>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</si>
  <si>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</si>
  <si>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</si>
  <si>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</si>
  <si>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</si>
  <si>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</si>
  <si>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</si>
  <si>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</si>
  <si>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</si>
  <si>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</si>
  <si>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</si>
  <si>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</si>
  <si>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</si>
  <si>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</si>
  <si>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</si>
  <si>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</si>
  <si>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</si>
  <si>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</si>
  <si>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</si>
  <si>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</si>
  <si>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</si>
  <si>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</si>
  <si>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</si>
  <si>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</si>
  <si>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</si>
  <si>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</si>
  <si>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</si>
  <si>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</si>
  <si>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</si>
  <si>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</si>
  <si>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</si>
  <si>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</si>
  <si>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</si>
  <si>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</si>
  <si>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</si>
  <si>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</si>
  <si>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</si>
  <si>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</si>
  <si>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</si>
  <si>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</si>
  <si>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</si>
  <si>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</si>
  <si>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</si>
  <si>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</si>
  <si>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</si>
  <si>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</si>
  <si>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</si>
  <si>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</si>
  <si>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</si>
  <si>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</si>
  <si>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</si>
  <si>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</si>
  <si>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</si>
  <si>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</si>
  <si>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</si>
  <si>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</si>
  <si>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</si>
  <si>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</si>
  <si>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</si>
  <si>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</si>
  <si>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</si>
  <si>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</si>
  <si>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</si>
  <si>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</si>
  <si>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</si>
  <si>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</si>
  <si>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</si>
  <si>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</si>
  <si>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</si>
  <si>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</si>
  <si>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</si>
  <si>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</si>
  <si>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</si>
  <si>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</si>
  <si>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</si>
  <si>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</si>
  <si>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</si>
  <si>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</si>
  <si>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</si>
  <si>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</si>
  <si>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</si>
  <si>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</si>
  <si>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</si>
  <si>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</si>
  <si>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</si>
  <si>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</si>
  <si>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</si>
  <si>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</si>
  <si>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</si>
  <si>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</si>
  <si>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</si>
  <si>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</si>
  <si>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</si>
  <si>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</si>
  <si>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</si>
  <si>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</si>
  <si>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</si>
  <si>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</si>
  <si>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Initial deposit</t>
  </si>
  <si>
    <t>MIXER</t>
  </si>
  <si>
    <t>STATEMENT</t>
  </si>
  <si>
    <t>TARGET DIR</t>
  </si>
  <si>
    <t>Z:\ISvsOS\mixer.xlsx</t>
  </si>
  <si>
    <t>Z:\ISvsOS</t>
  </si>
  <si>
    <t>Z:\ISvsOS\statement.xlsx</t>
  </si>
  <si>
    <t>C:\home\statement\funds-history</t>
  </si>
  <si>
    <t>C:\home\statement\portfolio-summary</t>
  </si>
  <si>
    <t>C:\home\statement\positions-close</t>
  </si>
  <si>
    <t>C:\home\statement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</si>
</sst>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26"/>
      <color rgb="FF0066CC"/>
      <name val="Calibri"/>
      <family val="2"/>
      <charset val="204"/>
      <scheme val="minor"/>
    </font>
    <font>
      <sz val="11"/>
      <color rgb="FF0066CC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FDA7"/>
        <bgColor indexed="64"/>
      </patternFill>
    </fill>
    <fill>
      <patternFill patternType="solid">
        <fgColor rgb="FFFFA2A1"/>
        <bgColor indexed="64"/>
      </patternFill>
    </fill>
    <fill>
      <patternFill patternType="solid">
        <fgColor rgb="FFFBB5E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6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0" fillId="4" borderId="0" xfId="0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FBB5E8"/>
      <color rgb="FFFFA2A1"/>
      <color rgb="FFDAFDA7"/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95250</xdr:rowOff>
    </xdr:from>
    <xdr:to>
      <xdr:col>0</xdr:col>
      <xdr:colOff>2286000</xdr:colOff>
      <xdr:row>2</xdr:row>
      <xdr:rowOff>76200</xdr:rowOff>
    </xdr:to>
    <xdr:sp macro="[0]!ClickLocatePathMixer" textlink="">
      <xdr:nvSpPr>
        <xdr:cNvPr id="2" name="Скругленный прямоугольник 1"/>
        <xdr:cNvSpPr/>
      </xdr:nvSpPr>
      <xdr:spPr>
        <a:xfrm>
          <a:off x="142875" y="95250"/>
          <a:ext cx="2143125" cy="3619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Mixer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4</xdr:row>
      <xdr:rowOff>80963</xdr:rowOff>
    </xdr:from>
    <xdr:to>
      <xdr:col>0</xdr:col>
      <xdr:colOff>2286000</xdr:colOff>
      <xdr:row>6</xdr:row>
      <xdr:rowOff>61913</xdr:rowOff>
    </xdr:to>
    <xdr:sp macro="[0]!ClickLocatePathStatement" textlink="">
      <xdr:nvSpPr>
        <xdr:cNvPr id="3" name="Скругленный прямоугольник 2"/>
        <xdr:cNvSpPr/>
      </xdr:nvSpPr>
      <xdr:spPr>
        <a:xfrm>
          <a:off x="142875" y="842963"/>
          <a:ext cx="2143125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 Statement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13</xdr:row>
      <xdr:rowOff>57150</xdr:rowOff>
    </xdr:from>
    <xdr:to>
      <xdr:col>0</xdr:col>
      <xdr:colOff>2286000</xdr:colOff>
      <xdr:row>16</xdr:row>
      <xdr:rowOff>95250</xdr:rowOff>
    </xdr:to>
    <xdr:sp macro="[0]!Run_ISvsOS" textlink="">
      <xdr:nvSpPr>
        <xdr:cNvPr id="4" name="Скругленный прямоугольник 3"/>
        <xdr:cNvSpPr/>
      </xdr:nvSpPr>
      <xdr:spPr>
        <a:xfrm>
          <a:off x="142875" y="2533650"/>
          <a:ext cx="2143125" cy="609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GO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8</xdr:row>
      <xdr:rowOff>90488</xdr:rowOff>
    </xdr:from>
    <xdr:to>
      <xdr:col>0</xdr:col>
      <xdr:colOff>2286000</xdr:colOff>
      <xdr:row>10</xdr:row>
      <xdr:rowOff>71438</xdr:rowOff>
    </xdr:to>
    <xdr:sp macro="[0]!ClickLocatePathTarget" textlink="">
      <xdr:nvSpPr>
        <xdr:cNvPr id="5" name="Скругленный прямоугольник 4"/>
        <xdr:cNvSpPr/>
      </xdr:nvSpPr>
      <xdr:spPr>
        <a:xfrm>
          <a:off x="142875" y="1614488"/>
          <a:ext cx="2143125" cy="3619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Target Directory</a:t>
          </a:r>
          <a:endParaRPr lang="be-BY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39.140625" customWidth="1"/>
    <col min="30" max="30" width="15.7109375" customWidth="1"/>
    <col min="32" max="32" width="9.140625" customWidth="1"/>
  </cols>
  <sheetData>
    <row r="1" spans="1:31">
      <c r="A1" s="1"/>
      <c r="B1" s="1"/>
      <c r="C1" s="1"/>
      <c r="D1" s="1"/>
      <c r="E1" s="1"/>
      <c r="F1" s="1"/>
      <c r="Y1" s="23" t="s">
        <v>91</v>
      </c>
      <c r="Z1" s="23"/>
      <c r="AA1" s="23"/>
      <c r="AC1" s="5" t="s">
        <v>88</v>
      </c>
    </row>
    <row r="2" spans="1:31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6">
        <v>40182</v>
      </c>
    </row>
    <row r="3" spans="1:31">
      <c r="A3" s="8"/>
      <c r="B3" s="8"/>
      <c r="C3" s="8"/>
      <c r="D3" s="8"/>
      <c r="E3" s="8"/>
      <c r="F3" s="8"/>
      <c r="Y3">
        <v>416</v>
      </c>
      <c r="Z3">
        <v>156</v>
      </c>
      <c r="AA3" t="s">
        <v>94</v>
      </c>
      <c r="AC3" t="s">
        <v>1</v>
      </c>
      <c r="AD3" s="16">
        <v>44430</v>
      </c>
      <c r="AE3">
        <f>(AD3-AD2)/365</f>
        <v>11.638356164383561</v>
      </c>
    </row>
    <row r="4" spans="1:31">
      <c r="A4" s="8"/>
      <c r="B4" s="8"/>
      <c r="C4" s="8"/>
      <c r="D4" s="8"/>
      <c r="E4" s="8"/>
      <c r="F4" s="8"/>
      <c r="Y4">
        <v>416</v>
      </c>
      <c r="Z4">
        <v>104</v>
      </c>
      <c r="AA4" t="s">
        <v>96</v>
      </c>
      <c r="AC4" t="s">
        <v>2</v>
      </c>
      <c r="AD4" s="17">
        <v>0.15</v>
      </c>
    </row>
    <row r="5" spans="1:31">
      <c r="A5" s="8"/>
      <c r="B5" s="8"/>
      <c r="C5" s="8"/>
      <c r="D5" s="8"/>
      <c r="E5" s="8"/>
      <c r="F5" s="8"/>
      <c r="Y5">
        <v>416</v>
      </c>
      <c r="Z5">
        <v>52</v>
      </c>
      <c r="AA5" t="s">
        <v>95</v>
      </c>
      <c r="AC5" s="6" t="s">
        <v>3</v>
      </c>
      <c r="AD5" s="7">
        <v>1E-4</v>
      </c>
    </row>
    <row r="6" spans="1:31">
      <c r="A6" s="1"/>
      <c r="B6" s="1"/>
      <c r="C6" s="1"/>
      <c r="D6" s="1"/>
      <c r="E6" s="1"/>
      <c r="F6" s="1"/>
      <c r="Y6">
        <v>260</v>
      </c>
      <c r="Z6">
        <v>52</v>
      </c>
      <c r="AA6" t="s">
        <v>107</v>
      </c>
      <c r="AC6" s="5" t="s">
        <v>89</v>
      </c>
    </row>
    <row r="7" spans="1:3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Y7">
        <v>156</v>
      </c>
      <c r="Z7">
        <v>52</v>
      </c>
      <c r="AA7" t="s">
        <v>109</v>
      </c>
    </row>
    <row r="8" spans="1:31">
      <c r="A8" s="8"/>
      <c r="W8" s="8"/>
      <c r="AC8" s="5" t="s">
        <v>84</v>
      </c>
    </row>
    <row r="9" spans="1:31">
      <c r="A9" s="8"/>
      <c r="W9" s="8"/>
    </row>
    <row r="10" spans="1:31">
      <c r="A10" s="8"/>
      <c r="W10" s="8"/>
    </row>
    <row r="11" spans="1:31">
      <c r="A11" s="8"/>
      <c r="W11" s="8"/>
    </row>
    <row r="13" spans="1:3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1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1">
      <c r="C15">
        <v>0.05</v>
      </c>
      <c r="D15">
        <v>1000</v>
      </c>
      <c r="E15">
        <v>0.5</v>
      </c>
      <c r="F15">
        <v>1000</v>
      </c>
      <c r="K15">
        <v>0.2</v>
      </c>
      <c r="L15">
        <v>1000</v>
      </c>
      <c r="M15" s="1"/>
      <c r="N15" s="1"/>
    </row>
    <row r="16" spans="1:31">
      <c r="C16">
        <v>0.1</v>
      </c>
      <c r="D16">
        <v>1000</v>
      </c>
      <c r="E16">
        <v>0.6</v>
      </c>
      <c r="F16">
        <v>1000</v>
      </c>
      <c r="K16">
        <v>0.3</v>
      </c>
      <c r="L16">
        <v>1000</v>
      </c>
    </row>
    <row r="17" spans="3:12">
      <c r="C17">
        <v>0.3</v>
      </c>
      <c r="D17">
        <v>1000</v>
      </c>
      <c r="E17">
        <v>0.7</v>
      </c>
      <c r="F17">
        <v>1000</v>
      </c>
      <c r="K17">
        <v>0.4</v>
      </c>
      <c r="L17">
        <v>1000</v>
      </c>
    </row>
    <row r="18" spans="3:12">
      <c r="C18">
        <v>0.5</v>
      </c>
      <c r="D18">
        <v>1000</v>
      </c>
      <c r="E18">
        <v>0.8</v>
      </c>
      <c r="F18">
        <v>1000</v>
      </c>
      <c r="K18">
        <v>0.5</v>
      </c>
      <c r="L18">
        <v>1000</v>
      </c>
    </row>
    <row r="19" spans="3:12">
      <c r="K19">
        <v>0.6</v>
      </c>
      <c r="L19">
        <v>1000</v>
      </c>
    </row>
    <row r="20" spans="3:12">
      <c r="K20">
        <v>0.7</v>
      </c>
      <c r="L20">
        <v>1000</v>
      </c>
    </row>
    <row r="21" spans="3:12">
      <c r="G21" s="4"/>
      <c r="H21" s="4"/>
      <c r="K21" s="4"/>
    </row>
    <row r="22" spans="3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sqref="A1:C1"/>
    </sheetView>
  </sheetViews>
  <sheetFormatPr defaultRowHeight="15"/>
  <cols>
    <col min="1" max="1" width="33.42578125" customWidth="1"/>
    <col min="2" max="2" width="12.140625" customWidth="1"/>
    <col min="3" max="3" width="79" customWidth="1"/>
  </cols>
  <sheetData>
    <row r="1" spans="1:3">
      <c r="A1" s="24" t="s">
        <v>144</v>
      </c>
      <c r="B1" s="24"/>
      <c r="C1" s="24"/>
    </row>
    <row r="2" spans="1:3">
      <c r="A2" s="2" t="s">
        <v>141</v>
      </c>
      <c r="C2" t="s">
        <v>153</v>
      </c>
    </row>
    <row r="3" spans="1:3">
      <c r="A3" s="2" t="s">
        <v>142</v>
      </c>
      <c r="C3" t="s">
        <v>154</v>
      </c>
    </row>
    <row r="4" spans="1:3">
      <c r="A4" s="2" t="s">
        <v>143</v>
      </c>
      <c r="C4" t="s">
        <v>155</v>
      </c>
    </row>
    <row r="5" spans="1:3">
      <c r="A5" s="2"/>
    </row>
    <row r="6" spans="1:3">
      <c r="A6" s="24" t="s">
        <v>145</v>
      </c>
      <c r="B6" s="24"/>
      <c r="C6" s="24"/>
    </row>
    <row r="7" spans="1:3">
      <c r="A7" s="2" t="s">
        <v>89</v>
      </c>
      <c r="C7" t="s">
        <v>156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3"/>
  <sheetViews>
    <sheetView workbookViewId="0">
      <selection activeCell="A7" sqref="A7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5"/>
      <c r="B1" s="12" t="s">
        <v>132</v>
      </c>
      <c r="C1" s="15"/>
      <c r="E1" s="12" t="s">
        <v>138</v>
      </c>
      <c r="G1" s="25" t="s">
        <v>137</v>
      </c>
      <c r="H1" s="25"/>
      <c r="I1" s="25"/>
      <c r="J1" s="25"/>
      <c r="K1" s="25"/>
      <c r="L1" s="25"/>
      <c r="M1" s="25"/>
      <c r="N1" s="25"/>
      <c r="O1" s="25"/>
    </row>
    <row r="2" spans="1:15">
      <c r="A2" t="s">
        <v>120</v>
      </c>
      <c r="B2" t="s">
        <v>139</v>
      </c>
      <c r="G2" s="13" t="s">
        <v>123</v>
      </c>
      <c r="H2" s="14" t="s">
        <v>124</v>
      </c>
      <c r="I2" s="14" t="s">
        <v>125</v>
      </c>
      <c r="J2" s="14" t="s">
        <v>126</v>
      </c>
      <c r="K2" s="14" t="s">
        <v>127</v>
      </c>
      <c r="L2" s="13" t="s">
        <v>128</v>
      </c>
      <c r="M2" s="13" t="s">
        <v>129</v>
      </c>
      <c r="N2" s="13" t="s">
        <v>130</v>
      </c>
    </row>
    <row r="3" spans="1:15">
      <c r="A3" t="s">
        <v>133</v>
      </c>
      <c r="B3" t="s">
        <v>140</v>
      </c>
    </row>
    <row r="4" spans="1:15">
      <c r="A4" t="s">
        <v>146</v>
      </c>
      <c r="B4" s="18">
        <v>10000</v>
      </c>
    </row>
    <row r="5" spans="1:15">
      <c r="A5" t="s">
        <v>121</v>
      </c>
      <c r="B5" s="19">
        <v>44116</v>
      </c>
    </row>
    <row r="6" spans="1:15">
      <c r="A6" t="s">
        <v>122</v>
      </c>
      <c r="B6" s="19">
        <v>44262</v>
      </c>
    </row>
    <row r="7" spans="1:15">
      <c r="A7" t="s">
        <v>136</v>
      </c>
      <c r="B7" s="18">
        <v>450</v>
      </c>
    </row>
    <row r="8" spans="1:15">
      <c r="B8" s="2"/>
    </row>
    <row r="10" spans="1:15">
      <c r="A10" s="15"/>
      <c r="B10" s="12" t="s">
        <v>131</v>
      </c>
      <c r="C10" s="15"/>
    </row>
    <row r="11" spans="1:15">
      <c r="A11" t="s">
        <v>134</v>
      </c>
    </row>
    <row r="13" spans="1:15">
      <c r="A13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E1" sqref="E1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0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0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0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60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28" workbookViewId="0">
      <selection activeCell="A54" sqref="A54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sIsOs"/>
  <dimension ref="B2:C10"/>
  <sheetViews>
    <sheetView workbookViewId="0"/>
  </sheetViews>
  <sheetFormatPr defaultRowHeight="15"/>
  <cols>
    <col min="1" max="1" width="37.140625" customWidth="1"/>
    <col min="2" max="2" width="11.5703125" customWidth="1"/>
    <col min="3" max="3" width="23.7109375" bestFit="1" customWidth="1"/>
  </cols>
  <sheetData>
    <row r="2" spans="2:3">
      <c r="B2" s="20" t="s">
        <v>147</v>
      </c>
      <c r="C2" t="s">
        <v>150</v>
      </c>
    </row>
    <row r="3" spans="2:3">
      <c r="B3" t="s">
        <v>121</v>
      </c>
    </row>
    <row r="4" spans="2:3">
      <c r="B4" t="s">
        <v>122</v>
      </c>
    </row>
    <row r="6" spans="2:3">
      <c r="B6" s="21" t="s">
        <v>148</v>
      </c>
      <c r="C6" t="s">
        <v>152</v>
      </c>
    </row>
    <row r="7" spans="2:3">
      <c r="B7" t="s">
        <v>121</v>
      </c>
    </row>
    <row r="8" spans="2:3">
      <c r="B8" t="s">
        <v>122</v>
      </c>
    </row>
    <row r="10" spans="2:3">
      <c r="B10" s="22" t="s">
        <v>149</v>
      </c>
      <c r="C10" t="s">
        <v>151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7</vt:i4>
      </vt:variant>
    </vt:vector>
  </HeadingPairs>
  <TitlesOfParts>
    <vt:vector size="13" baseType="lpstr">
      <vt:lpstr>WFA</vt:lpstr>
      <vt:lpstr>Statement</vt:lpstr>
      <vt:lpstr>Back-test</vt:lpstr>
      <vt:lpstr>Sorting</vt:lpstr>
      <vt:lpstr>Experiments</vt:lpstr>
      <vt:lpstr>ISvsOS</vt:lpstr>
      <vt:lpstr>DFromMixer</vt:lpstr>
      <vt:lpstr>DFromStatement</vt:lpstr>
      <vt:lpstr>DToMixer</vt:lpstr>
      <vt:lpstr>DToStatement</vt:lpstr>
      <vt:lpstr>PathMixer</vt:lpstr>
      <vt:lpstr>PathStatement</vt:lpstr>
      <vt:lpstr>PathTargetDir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uzer</cp:lastModifiedBy>
  <dcterms:created xsi:type="dcterms:W3CDTF">2020-09-21T11:33:14Z</dcterms:created>
  <dcterms:modified xsi:type="dcterms:W3CDTF">2024-05-11T12:26:22Z</dcterms:modified>
</cp:coreProperties>
</file>