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3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M_local\VBA_Excel\VBARepository\JFTools\"/>
    </mc:Choice>
  </mc:AlternateContent>
  <xr:revisionPtr revIDLastSave="0" documentId="13_ncr:1_{669B90DA-3533-40A0-90E4-FF8C6905CD2D}" xr6:coauthVersionLast="45" xr6:coauthVersionMax="45" xr10:uidLastSave="{00000000-0000-0000-0000-000000000000}"/>
  <bookViews>
    <workbookView xWindow="945" yWindow="870" windowWidth="21600" windowHeight="11385" tabRatio="859" xr2:uid="{00000000-000D-0000-FFFF-FFFF00000000}"/>
  </bookViews>
  <sheets>
    <sheet name="WFA" sheetId="21" r:id="rId1"/>
    <sheet name="Statement" sheetId="31" r:id="rId2"/>
    <sheet name="Back-test" sheetId="18" r:id="rId3"/>
    <sheet name="Hidden Settings" sheetId="20" r:id="rId4"/>
    <sheet name="Sorting" sheetId="28" r:id="rId5"/>
    <sheet name="Experiments" sheetId="30" r:id="rId6"/>
  </sheets>
  <functionGroups builtInGroupCount="19"/>
  <definedNames>
    <definedName name="_xlnm._FilterDatabase" localSheetId="4" hidden="1">Sorting!#REF!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" i="20" l="1"/>
  <c r="J11" i="20"/>
  <c r="J10" i="20"/>
  <c r="J9" i="20"/>
  <c r="J8" i="20"/>
  <c r="J7" i="20"/>
  <c r="J6" i="20"/>
  <c r="J5" i="20"/>
  <c r="J4" i="20"/>
  <c r="I12" i="20"/>
  <c r="I11" i="20"/>
  <c r="I10" i="20"/>
  <c r="I9" i="20"/>
  <c r="I8" i="20"/>
  <c r="I7" i="20"/>
  <c r="I6" i="20"/>
  <c r="I5" i="20"/>
  <c r="I4" i="20"/>
  <c r="J3" i="20"/>
  <c r="I3" i="20"/>
</calcChain>
</file>

<file path=xl/sharedStrings.xml><?xml version="1.0" encoding="utf-8"?>
<sst xmlns="http://schemas.openxmlformats.org/spreadsheetml/2006/main" count="272" uniqueCount="152">
  <si>
    <t>Test window, start</t>
  </si>
  <si>
    <t>Test window, end</t>
  </si>
  <si>
    <t>Target MDD</t>
  </si>
  <si>
    <t>MDD freedom</t>
  </si>
  <si>
    <t>min</t>
  </si>
  <si>
    <t>max</t>
  </si>
  <si>
    <t>Выделить все</t>
  </si>
  <si>
    <t>Instrument groups</t>
  </si>
  <si>
    <t>audcad</t>
  </si>
  <si>
    <t>AUD/CAD</t>
  </si>
  <si>
    <t>_cux</t>
  </si>
  <si>
    <t>audchf</t>
  </si>
  <si>
    <t>AUD/CHF</t>
  </si>
  <si>
    <t>audjpy</t>
  </si>
  <si>
    <t>AUD/JPY</t>
  </si>
  <si>
    <t>audnzd</t>
  </si>
  <si>
    <t>AUD/NZD</t>
  </si>
  <si>
    <t>_cxu</t>
  </si>
  <si>
    <t>audusd</t>
  </si>
  <si>
    <t>AUD/USD</t>
  </si>
  <si>
    <t>_mxu</t>
  </si>
  <si>
    <t>cadchf</t>
  </si>
  <si>
    <t>CAD/CHF</t>
  </si>
  <si>
    <t>cadjpy</t>
  </si>
  <si>
    <t>CAD/JPY</t>
  </si>
  <si>
    <t>chfjpy</t>
  </si>
  <si>
    <t>CHF/JPY</t>
  </si>
  <si>
    <t>euraud</t>
  </si>
  <si>
    <t>EUR/AUD</t>
  </si>
  <si>
    <t>eurcad</t>
  </si>
  <si>
    <t>EUR/CAD</t>
  </si>
  <si>
    <t>eurchf</t>
  </si>
  <si>
    <t>EUR/CHF</t>
  </si>
  <si>
    <t>eurgbp</t>
  </si>
  <si>
    <t>EUR/GBP</t>
  </si>
  <si>
    <t>eurjpy</t>
  </si>
  <si>
    <t>EUR/JPY</t>
  </si>
  <si>
    <t>eurnzd</t>
  </si>
  <si>
    <t>EUR/NZD</t>
  </si>
  <si>
    <t>eurusd</t>
  </si>
  <si>
    <t>EUR/USD</t>
  </si>
  <si>
    <t>gbpaud</t>
  </si>
  <si>
    <t>GBP/AUD</t>
  </si>
  <si>
    <t>gbpcad</t>
  </si>
  <si>
    <t>GBP/CAD</t>
  </si>
  <si>
    <t>gbpchf</t>
  </si>
  <si>
    <t>GBP/CHF</t>
  </si>
  <si>
    <t>gbpjpy</t>
  </si>
  <si>
    <t>GBP/JPY</t>
  </si>
  <si>
    <t>gbpnzd</t>
  </si>
  <si>
    <t>GBP/NZD</t>
  </si>
  <si>
    <t>gbpusd</t>
  </si>
  <si>
    <t>GBP/USD</t>
  </si>
  <si>
    <t>nzdcad</t>
  </si>
  <si>
    <t>NZD/CAD</t>
  </si>
  <si>
    <t>nzdchf</t>
  </si>
  <si>
    <t>NZD/CHF</t>
  </si>
  <si>
    <t>nzdjpy</t>
  </si>
  <si>
    <t>NZD/JPY</t>
  </si>
  <si>
    <t>nzdusd</t>
  </si>
  <si>
    <t>NZD/USD</t>
  </si>
  <si>
    <t>usdcad</t>
  </si>
  <si>
    <t>USD/CAD</t>
  </si>
  <si>
    <t>_mux</t>
  </si>
  <si>
    <t>usdchf</t>
  </si>
  <si>
    <t>USD/CHF</t>
  </si>
  <si>
    <t>usdjpy</t>
  </si>
  <si>
    <t>USD/JPY</t>
  </si>
  <si>
    <t>xagusd</t>
  </si>
  <si>
    <t>XAG/USD</t>
  </si>
  <si>
    <t>xauusd</t>
  </si>
  <si>
    <t>XAU/USD</t>
  </si>
  <si>
    <t>Maximize/Minimize value</t>
  </si>
  <si>
    <t>Sharpe Ratio</t>
  </si>
  <si>
    <t>R-squared</t>
  </si>
  <si>
    <t>Recovery Factor</t>
  </si>
  <si>
    <t>Trades per Month</t>
  </si>
  <si>
    <t>Avg Winner/Loser</t>
  </si>
  <si>
    <t>MDD</t>
  </si>
  <si>
    <t>Annualized Return</t>
  </si>
  <si>
    <t>Win Ratio</t>
  </si>
  <si>
    <t>UnCheck ALL</t>
  </si>
  <si>
    <t>Maximize</t>
  </si>
  <si>
    <t>Minimize</t>
  </si>
  <si>
    <t>Source Directories</t>
  </si>
  <si>
    <t>IS weeks</t>
  </si>
  <si>
    <t>OS weeks</t>
  </si>
  <si>
    <t>code</t>
  </si>
  <si>
    <t>WFA settings</t>
  </si>
  <si>
    <t>Target Directory</t>
  </si>
  <si>
    <t>Scan mode</t>
  </si>
  <si>
    <t>In-Sample / Out-of-Sample Windows</t>
  </si>
  <si>
    <t>Avg Trade</t>
  </si>
  <si>
    <t>Profit Factor</t>
  </si>
  <si>
    <t>i8o3</t>
  </si>
  <si>
    <t>i8o1</t>
  </si>
  <si>
    <t>i8o2</t>
  </si>
  <si>
    <t>i7o4</t>
  </si>
  <si>
    <t>i7o2</t>
  </si>
  <si>
    <t>i7o1</t>
  </si>
  <si>
    <t>i6o4</t>
  </si>
  <si>
    <t>i6o2</t>
  </si>
  <si>
    <t>i6o1</t>
  </si>
  <si>
    <t>i7o3</t>
  </si>
  <si>
    <t>i6o3</t>
  </si>
  <si>
    <t>i5o3</t>
  </si>
  <si>
    <t>i5o2</t>
  </si>
  <si>
    <t>i5o1</t>
  </si>
  <si>
    <t>i4o2</t>
  </si>
  <si>
    <t>i3o1</t>
  </si>
  <si>
    <t>i4o1</t>
  </si>
  <si>
    <t>Sharpe</t>
  </si>
  <si>
    <t>MAXIMIZE</t>
  </si>
  <si>
    <t>ПЕРЕМЕЩЕНИЕ ОКНА</t>
  </si>
  <si>
    <t>ПОВЫШЕНИЕ ПОЛА</t>
  </si>
  <si>
    <t>ПОВЫШЕНИЕ ПОТОЛКА</t>
  </si>
  <si>
    <t>Trades per month</t>
  </si>
  <si>
    <t>Шарп</t>
  </si>
  <si>
    <t>Р-квадрат</t>
  </si>
  <si>
    <t>макс</t>
  </si>
  <si>
    <t>C:\RM_local\WFA_TARGET</t>
  </si>
  <si>
    <t>Parent directory</t>
  </si>
  <si>
    <t>Date from</t>
  </si>
  <si>
    <t>Date to</t>
  </si>
  <si>
    <t>Completed reports</t>
  </si>
  <si>
    <t>Dates</t>
  </si>
  <si>
    <t>Count</t>
  </si>
  <si>
    <t>Depo_ini</t>
  </si>
  <si>
    <t>Algo name</t>
  </si>
  <si>
    <t>Time from</t>
  </si>
  <si>
    <t>Time to</t>
  </si>
  <si>
    <t>Link</t>
  </si>
  <si>
    <t>*** JOIN HISTORICAL WINDOWS ***</t>
  </si>
  <si>
    <t>*** PROCESS BACK-TEST REPORTS ***</t>
  </si>
  <si>
    <t>Strategy name</t>
  </si>
  <si>
    <t>Target directory</t>
  </si>
  <si>
    <t>Source directories</t>
  </si>
  <si>
    <t>HTML count</t>
  </si>
  <si>
    <t>*** CHECK COMPLETED REPORTS ***</t>
  </si>
  <si>
    <t>Buttons</t>
  </si>
  <si>
    <t>C:\RM_local\HTML_SRC\ATRDiff_v1</t>
  </si>
  <si>
    <t>ATRDiff_v1</t>
  </si>
  <si>
    <t>Funds History</t>
  </si>
  <si>
    <t>Portfolio Summary</t>
  </si>
  <si>
    <t>Positions Close</t>
  </si>
  <si>
    <t>*** SOURCE DIRECTORIES ***</t>
  </si>
  <si>
    <t>*** TARGET DIRECTORY ***</t>
  </si>
  <si>
    <t>C:\RM_local\WFA_SRC\AdrCtTsB_v1</t>
  </si>
  <si>
    <t>C:\RM_local\DC-live-Moderate\with_macros\funds-history</t>
  </si>
  <si>
    <t>C:\RM_local\DC-live-Moderate\with_macros\portfolio-summary</t>
  </si>
  <si>
    <t>C:\RM_local\DC-live-Moderate\with_macros\positions-close</t>
  </si>
  <si>
    <t>C:\RM_local\DC-live-Moderate\with_macros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</si>
</sst>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rgb="FF0070C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8"/>
      <name val="Tahoma"/>
      <family val="2"/>
    </font>
    <font>
      <sz val="11"/>
      <color rgb="FF000000"/>
      <name val="Calibri"/>
      <family val="2"/>
      <scheme val="minor"/>
    </font>
    <font>
      <b/>
      <sz val="11"/>
      <color indexed="10"/>
      <name val="Calibri"/>
      <family val="2"/>
      <scheme val="minor"/>
    </font>
    <font>
      <b/>
      <sz val="26"/>
      <color indexed="30"/>
      <name val="Calibri"/>
      <family val="2"/>
      <scheme val="minor"/>
    </font>
    <font>
      <sz val="11"/>
      <color indexed="3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22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/>
    <xf numFmtId="0" fontId="1" fillId="0" borderId="0" xfId="0" applyFont="1"/>
    <xf numFmtId="0" fontId="3" fillId="2" borderId="0" xfId="0" applyFont="1" applyFill="1"/>
    <xf numFmtId="0" fontId="0" fillId="0" borderId="2" xfId="0" applyBorder="1"/>
    <xf numFmtId="10" fontId="0" fillId="0" borderId="2" xfId="0" applyNumberFormat="1" applyBorder="1"/>
    <xf numFmtId="0" fontId="0" fillId="5" borderId="0" xfId="0" applyFill="1"/>
    <xf numFmtId="0" fontId="6" fillId="0" borderId="1" xfId="0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7" fillId="0" borderId="0" xfId="0" applyFont="1"/>
    <xf numFmtId="164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3" fillId="2" borderId="0" xfId="0" applyFont="1" applyFill="1" applyAlignment="1"/>
    <xf numFmtId="14" fontId="0" fillId="0" borderId="0" xfId="0" applyNumberFormat="1" applyFill="1"/>
    <xf numFmtId="9" fontId="0" fillId="0" borderId="0" xfId="0" applyNumberFormat="1"/>
    <xf numFmtId="0" fontId="3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Border="1" applyAlignment="1">
      <alignment horizontal="center"/>
    </xf>
  </cellXfs>
  <cellStyles count="3">
    <cellStyle name="Normal" xfId="0" builtinId="0"/>
    <cellStyle name="Обычный 2" xfId="1" xr:uid="{00000000-0005-0000-0000-000001000000}"/>
    <cellStyle name="Обычный 3" xfId="2" xr:uid="{00000000-0005-0000-0000-000002000000}"/>
  </cellStyles>
  <dxfs count="0"/>
  <tableStyles count="0" defaultTableStyle="TableStyleMedium9" defaultPivotStyle="PivotStyleLight16"/>
  <colors>
    <mruColors>
      <color rgb="FF0070C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'Hidden Settings'!$H$3" lockText="1" noThreeD="1"/>
</file>

<file path=xl/ctrlProps/ctrlProp2.xml><?xml version="1.0" encoding="utf-8"?>
<formControlPr xmlns="http://schemas.microsoft.com/office/spreadsheetml/2009/9/main" objectType="CheckBox" checked="Checked" fmlaLink="'Hidden Settings'!$H$4" lockText="1" noThreeD="1"/>
</file>

<file path=xl/ctrlProps/ctrlProp3.xml><?xml version="1.0" encoding="utf-8"?>
<formControlPr xmlns="http://schemas.microsoft.com/office/spreadsheetml/2009/9/main" objectType="CheckBox" fmlaLink="'Hidden Settings'!$H$5" lockText="1" noThreeD="1"/>
</file>

<file path=xl/ctrlProps/ctrlProp4.xml><?xml version="1.0" encoding="utf-8"?>
<formControlPr xmlns="http://schemas.microsoft.com/office/spreadsheetml/2009/9/main" objectType="CheckBox" fmlaLink="'Hidden Settings'!$H$6" lockText="1" noThreeD="1"/>
</file>

<file path=xl/ctrlProps/ctrlProp5.xml><?xml version="1.0" encoding="utf-8"?>
<formControlPr xmlns="http://schemas.microsoft.com/office/spreadsheetml/2009/9/main" objectType="CheckBox" checked="Checked" fmlaLink="'Hidden Settings'!$H$7" lockText="1" noThreeD="1"/>
</file>

<file path=xl/ctrlProps/ctrlProp6.xml><?xml version="1.0" encoding="utf-8"?>
<formControlPr xmlns="http://schemas.microsoft.com/office/spreadsheetml/2009/9/main" objectType="CheckBox" fmlaLink="'Hidden Settings'!$H$8" lockText="1" noThreeD="1"/>
</file>

<file path=xl/ctrlProps/ctrlProp7.xml><?xml version="1.0" encoding="utf-8"?>
<formControlPr xmlns="http://schemas.microsoft.com/office/spreadsheetml/2009/9/main" objectType="CheckBox" fmlaLink="'Hidden Settings'!$H$9" lockText="1" noThreeD="1"/>
</file>

<file path=xl/ctrlProps/ctrlProp8.xml><?xml version="1.0" encoding="utf-8"?>
<formControlPr xmlns="http://schemas.microsoft.com/office/spreadsheetml/2009/9/main" objectType="CheckBox" fmlaLink="'Hidden Settings'!$H$10" lockText="1" noThreeD="1"/>
</file>

<file path=xl/ctrlProps/ctrlProp9.xml><?xml version="1.0" encoding="utf-8"?>
<formControlPr xmlns="http://schemas.microsoft.com/office/spreadsheetml/2009/9/main" objectType="CheckBox" fmlaLink="'Hidden Settings'!$H$11" lockText="1" noThreeD="1"/>
</file>

<file path=xl/ctrlProps/ctrlProp10.xml><?xml version="1.0" encoding="utf-8"?>
<formControlPr xmlns="http://schemas.microsoft.com/office/spreadsheetml/2009/9/main" objectType="CheckBox" fmlaLink="'Hidden Settings'!$H$12" lockText="1" noThreeD="1"/>
</file>

<file path=xl/ctrlProps/ctrlProp11.xml><?xml version="1.0" encoding="utf-8"?>
<formControlPr xmlns="http://schemas.microsoft.com/office/spreadsheetml/2009/9/main" objectType="Radio" firstButton="1" fmlaLink="'Hidden Settings'!$H$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CheckBox" fmlaLink="'Hidden Settings'!$H$2" lockText="1" noThreeD="1"/>
</file>

<file path=xl/ctrlProps/ctrlProp33.xml><?xml version="1.0" encoding="utf-8"?>
<formControlPr xmlns="http://schemas.microsoft.com/office/spreadsheetml/2009/9/main" objectType="Radio" firstButton="1" fmlaLink="'Hidden Settings'!$H$18" lockText="1" noThreeD="1"/>
</file>

<file path=xl/ctrlProps/ctrlProp34.xml><?xml version="1.0" encoding="utf-8"?>
<formControlPr xmlns="http://schemas.microsoft.com/office/spreadsheetml/2009/9/main" objectType="Radio" checked="Checked" lockText="1" noThreeD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fmlaLink="'Hidden Settings'!$B$1" lockText="1"/>
</file>

<file path=xl/ctrlProps/ctrlProp53.xml><?xml version="1.0" encoding="utf-8"?>
<formControlPr xmlns="http://schemas.microsoft.com/office/spreadsheetml/2009/9/main" objectType="CheckBox" checked="Checked" fmlaLink="'Hidden Settings'!$B$2" lockText="1" noThreeD="1"/>
</file>

<file path=xl/ctrlProps/ctrlProp54.xml><?xml version="1.0" encoding="utf-8"?>
<formControlPr xmlns="http://schemas.microsoft.com/office/spreadsheetml/2009/9/main" objectType="CheckBox" checked="Checked" fmlaLink="'Hidden Settings'!$B$3" lockText="1" noThreeD="1"/>
</file>

<file path=xl/ctrlProps/ctrlProp55.xml><?xml version="1.0" encoding="utf-8"?>
<formControlPr xmlns="http://schemas.microsoft.com/office/spreadsheetml/2009/9/main" objectType="CheckBox" fmlaLink="'Hidden Settings'!$B$4" lockText="1" noThreeD="1"/>
</file>

<file path=xl/ctrlProps/ctrlProp56.xml><?xml version="1.0" encoding="utf-8"?>
<formControlPr xmlns="http://schemas.microsoft.com/office/spreadsheetml/2009/9/main" objectType="CheckBox" fmlaLink="'Hidden Settings'!$B$5" lockText="1" noThreeD="1"/>
</file>

<file path=xl/ctrlProps/ctrlProp57.xml><?xml version="1.0" encoding="utf-8"?>
<formControlPr xmlns="http://schemas.microsoft.com/office/spreadsheetml/2009/9/main" objectType="CheckBox" fmlaLink="'Hidden Settings'!$B$6" lockText="1" noThreeD="1"/>
</file>

<file path=xl/ctrlProps/ctrlProp58.xml><?xml version="1.0" encoding="utf-8"?>
<formControlPr xmlns="http://schemas.microsoft.com/office/spreadsheetml/2009/9/main" objectType="CheckBox" fmlaLink="'Hidden Settings'!$B$7" lockText="1" noThreeD="1"/>
</file>

<file path=xl/ctrlProps/ctrlProp59.xml><?xml version="1.0" encoding="utf-8"?>
<formControlPr xmlns="http://schemas.microsoft.com/office/spreadsheetml/2009/9/main" objectType="CheckBox" fmlaLink="'Hidden Settings'!$B$8" lockText="1" noThreeD="1"/>
</file>

<file path=xl/ctrlProps/ctrlProp60.xml><?xml version="1.0" encoding="utf-8"?>
<formControlPr xmlns="http://schemas.microsoft.com/office/spreadsheetml/2009/9/main" objectType="CheckBox" fmlaLink="'Hidden Settings'!$B$9" lockText="1" noThreeD="1"/>
</file>

<file path=xl/ctrlProps/ctrlProp61.xml><?xml version="1.0" encoding="utf-8"?>
<formControlPr xmlns="http://schemas.microsoft.com/office/spreadsheetml/2009/9/main" objectType="CheckBox" fmlaLink="'Hidden Settings'!$B$10" lockText="1" noThreeD="1"/>
</file>

<file path=xl/ctrlProps/ctrlProp62.xml><?xml version="1.0" encoding="utf-8"?>
<formControlPr xmlns="http://schemas.microsoft.com/office/spreadsheetml/2009/9/main" objectType="CheckBox" fmlaLink="'Hidden Settings'!$B$11" lockText="1" noThreeD="1"/>
</file>

<file path=xl/ctrlProps/ctrlProp63.xml><?xml version="1.0" encoding="utf-8"?>
<formControlPr xmlns="http://schemas.microsoft.com/office/spreadsheetml/2009/9/main" objectType="CheckBox" fmlaLink="'Hidden Settings'!$B$12" lockText="1" noThreeD="1"/>
</file>

<file path=xl/ctrlProps/ctrlProp64.xml><?xml version="1.0" encoding="utf-8"?>
<formControlPr xmlns="http://schemas.microsoft.com/office/spreadsheetml/2009/9/main" objectType="CheckBox" fmlaLink="'Hidden Settings'!$B$13" lockText="1" noThreeD="1"/>
</file>

<file path=xl/ctrlProps/ctrlProp65.xml><?xml version="1.0" encoding="utf-8"?>
<formControlPr xmlns="http://schemas.microsoft.com/office/spreadsheetml/2009/9/main" objectType="CheckBox" fmlaLink="'Hidden Settings'!$B$14" lockText="1" noThreeD="1"/>
</file>

<file path=xl/ctrlProps/ctrlProp66.xml><?xml version="1.0" encoding="utf-8"?>
<formControlPr xmlns="http://schemas.microsoft.com/office/spreadsheetml/2009/9/main" objectType="CheckBox" fmlaLink="'Hidden Settings'!$B$15" lockText="1" noThreeD="1"/>
</file>

<file path=xl/ctrlProps/ctrlProp67.xml><?xml version="1.0" encoding="utf-8"?>
<formControlPr xmlns="http://schemas.microsoft.com/office/spreadsheetml/2009/9/main" objectType="CheckBox" fmlaLink="'Hidden Settings'!$B$16" lockText="1" noThreeD="1"/>
</file>

<file path=xl/ctrlProps/ctrlProp68.xml><?xml version="1.0" encoding="utf-8"?>
<formControlPr xmlns="http://schemas.microsoft.com/office/spreadsheetml/2009/9/main" objectType="CheckBox" fmlaLink="'Hidden Settings'!$B$17" lockText="1" noThreeD="1"/>
</file>

<file path=xl/ctrlProps/ctrlProp69.xml><?xml version="1.0" encoding="utf-8"?>
<formControlPr xmlns="http://schemas.microsoft.com/office/spreadsheetml/2009/9/main" objectType="CheckBox" fmlaLink="'Hidden Settings'!$B$18" lockText="1" noThreeD="1"/>
</file>

<file path=xl/ctrlProps/ctrlProp70.xml><?xml version="1.0" encoding="utf-8"?>
<formControlPr xmlns="http://schemas.microsoft.com/office/spreadsheetml/2009/9/main" objectType="CheckBox" fmlaLink="'Hidden Settings'!$B$19" lockText="1" noThreeD="1"/>
</file>

<file path=xl/ctrlProps/ctrlProp71.xml><?xml version="1.0" encoding="utf-8"?>
<formControlPr xmlns="http://schemas.microsoft.com/office/spreadsheetml/2009/9/main" objectType="CheckBox" fmlaLink="'Hidden Settings'!$B$20" lockText="1" noThreeD="1"/>
</file>

<file path=xl/ctrlProps/ctrlProp72.xml><?xml version="1.0" encoding="utf-8"?>
<formControlPr xmlns="http://schemas.microsoft.com/office/spreadsheetml/2009/9/main" objectType="CheckBox" fmlaLink="'Hidden Settings'!$B$21" lockText="1" noThreeD="1"/>
</file>

<file path=xl/ctrlProps/ctrlProp73.xml><?xml version="1.0" encoding="utf-8"?>
<formControlPr xmlns="http://schemas.microsoft.com/office/spreadsheetml/2009/9/main" objectType="CheckBox" fmlaLink="'Hidden Settings'!$B$22" lockText="1" noThreeD="1"/>
</file>

<file path=xl/ctrlProps/ctrlProp74.xml><?xml version="1.0" encoding="utf-8"?>
<formControlPr xmlns="http://schemas.microsoft.com/office/spreadsheetml/2009/9/main" objectType="CheckBox" fmlaLink="'Hidden Settings'!$B$23" lockText="1" noThreeD="1"/>
</file>

<file path=xl/ctrlProps/ctrlProp75.xml><?xml version="1.0" encoding="utf-8"?>
<formControlPr xmlns="http://schemas.microsoft.com/office/spreadsheetml/2009/9/main" objectType="CheckBox" fmlaLink="'Hidden Settings'!$B$24" lockText="1" noThreeD="1"/>
</file>

<file path=xl/ctrlProps/ctrlProp76.xml><?xml version="1.0" encoding="utf-8"?>
<formControlPr xmlns="http://schemas.microsoft.com/office/spreadsheetml/2009/9/main" objectType="CheckBox" fmlaLink="'Hidden Settings'!$B$25" lockText="1" noThreeD="1"/>
</file>

<file path=xl/ctrlProps/ctrlProp77.xml><?xml version="1.0" encoding="utf-8"?>
<formControlPr xmlns="http://schemas.microsoft.com/office/spreadsheetml/2009/9/main" objectType="CheckBox" fmlaLink="'Hidden Settings'!$B$26" lockText="1" noThreeD="1"/>
</file>

<file path=xl/ctrlProps/ctrlProp78.xml><?xml version="1.0" encoding="utf-8"?>
<formControlPr xmlns="http://schemas.microsoft.com/office/spreadsheetml/2009/9/main" objectType="CheckBox" fmlaLink="'Hidden Settings'!$B$27" lockText="1" noThreeD="1"/>
</file>

<file path=xl/ctrlProps/ctrlProp79.xml><?xml version="1.0" encoding="utf-8"?>
<formControlPr xmlns="http://schemas.microsoft.com/office/spreadsheetml/2009/9/main" objectType="CheckBox" fmlaLink="'Hidden Settings'!$B$28" lockText="1" noThreeD="1"/>
</file>

<file path=xl/ctrlProps/ctrlProp80.xml><?xml version="1.0" encoding="utf-8"?>
<formControlPr xmlns="http://schemas.microsoft.com/office/spreadsheetml/2009/9/main" objectType="CheckBox" fmlaLink="'Hidden Settings'!$B$29" lockText="1" noThreeD="1"/>
</file>

<file path=xl/ctrlProps/ctrlProp81.xml><?xml version="1.0" encoding="utf-8"?>
<formControlPr xmlns="http://schemas.microsoft.com/office/spreadsheetml/2009/9/main" objectType="CheckBox" fmlaLink="'Hidden Settings'!$B$30" lockText="1" noThreeD="1"/>
</file>

<file path=xl/ctrlProps/ctrlProp82.xml><?xml version="1.0" encoding="utf-8"?>
<formControlPr xmlns="http://schemas.microsoft.com/office/spreadsheetml/2009/9/main" objectType="CheckBox" fmlaLink="'Hidden Settings'!$B$31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1A95877-BB90-4BA2-B3B0-087A067143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Sharpe 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AEAC7C70-387C-425D-BF8F-EAD35C3282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R-squared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8C346B00-D245-4023-A9C2-296B15AF69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Annualized Return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129A37C0-9F7C-4067-90F8-369DA27CEE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MDD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FDA97420-3C28-475B-83B6-67BEDB3AC7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Recovery Factor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FFA2A55C-B38E-4554-ABCD-9E61FB244C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Trades per Month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16</xdr:col>
          <xdr:colOff>0</xdr:colOff>
          <xdr:row>13</xdr:row>
          <xdr:rowOff>0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DE9C22BC-8AB7-46A7-AB15-41ECC33AEF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Win 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3440193D-2963-460F-8D43-FAF31C27D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Avg Winner/Loser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20</xdr:col>
          <xdr:colOff>0</xdr:colOff>
          <xdr:row>13</xdr:row>
          <xdr:rowOff>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A6DAB39D-9093-4E75-A1CA-473C79746E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Avg Trade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11</xdr:row>
          <xdr:rowOff>0</xdr:rowOff>
        </xdr:from>
        <xdr:to>
          <xdr:col>22</xdr:col>
          <xdr:colOff>0</xdr:colOff>
          <xdr:row>13</xdr:row>
          <xdr:rowOff>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77824C28-8F54-4FC8-B6FD-0E8D9F294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Profit Factor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C8F71C2C-0D0C-4541-948C-4FA67F54B8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9230" name="Option 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5074CC94-3C08-40C9-BD54-ED5217AF1A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9231" name="Option 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D0C082E6-D69F-45C1-82E4-D8151F3122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9232" name="Option 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C230C553-EB20-4DCD-AB63-3F18C838F7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33" name="Option 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E31493F4-E5D4-40F1-80E1-4B8368537F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9234" name="Option Button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3D821113-37E9-4C1E-AA29-AB809C3F97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9235" name="Option Button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6E2DE33A-BA43-4D20-A210-957EC12151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9236" name="Option Button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88EE6AEF-3389-44A2-A963-B7FDFE8A3D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9237" name="Option Button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BCFE34A9-BB84-46D2-AF19-E6A8151D80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9238" name="Option 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706B6E77-A840-477F-9F35-670A86F722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9239" name="Option 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CF087776-571C-495D-BED2-2FA38A59AF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9240" name="Option 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524F979E-1C81-4E95-98A9-218F5799F3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9241" name="Option 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70FDE510-8DCE-418F-8D25-5EB027269D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9242" name="Option 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80D389D0-B059-480B-8933-BEA71748F9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9243" name="Option 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3985D51E-732C-4E80-BEA8-E581D2AC87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18</xdr:col>
          <xdr:colOff>0</xdr:colOff>
          <xdr:row>9</xdr:row>
          <xdr:rowOff>0</xdr:rowOff>
        </xdr:to>
        <xdr:sp macro="" textlink="">
          <xdr:nvSpPr>
            <xdr:cNvPr id="9244" name="Option 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A55FEC7A-436A-4EAF-8EC3-CD18E8A108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18</xdr:col>
          <xdr:colOff>0</xdr:colOff>
          <xdr:row>11</xdr:row>
          <xdr:rowOff>0</xdr:rowOff>
        </xdr:to>
        <xdr:sp macro="" textlink="">
          <xdr:nvSpPr>
            <xdr:cNvPr id="9245" name="Option 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5D748BEA-C0E2-4793-BC8F-C96E7DC91D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20</xdr:col>
          <xdr:colOff>0</xdr:colOff>
          <xdr:row>9</xdr:row>
          <xdr:rowOff>0</xdr:rowOff>
        </xdr:to>
        <xdr:sp macro="" textlink="">
          <xdr:nvSpPr>
            <xdr:cNvPr id="9246" name="Option 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8C8539AB-852D-49E3-BF28-DBF2BF1790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20</xdr:col>
          <xdr:colOff>0</xdr:colOff>
          <xdr:row>11</xdr:row>
          <xdr:rowOff>0</xdr:rowOff>
        </xdr:to>
        <xdr:sp macro="" textlink="">
          <xdr:nvSpPr>
            <xdr:cNvPr id="9247" name="Option Button 31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CD574BCE-3929-49DF-B824-A59DC44590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0</xdr:rowOff>
        </xdr:from>
        <xdr:to>
          <xdr:col>22</xdr:col>
          <xdr:colOff>0</xdr:colOff>
          <xdr:row>9</xdr:row>
          <xdr:rowOff>0</xdr:rowOff>
        </xdr:to>
        <xdr:sp macro="" textlink="">
          <xdr:nvSpPr>
            <xdr:cNvPr id="9248" name="Option Button 32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8E9C52B7-B37B-465B-9213-E24501DD06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9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49" name="Option 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E284419E-887E-49B6-96F4-76A938B255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9252" name="Check Box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690D677F-3F54-4201-B88A-E678F166EF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9253" name="Option 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C3885015-6330-42F2-B79E-151E14360E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99FF" mc:Ignorable="a14" a14:legacySpreadsheetColorIndex="46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1. Strategy (all instr.)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5</xdr:col>
          <xdr:colOff>295275</xdr:colOff>
          <xdr:row>4</xdr:row>
          <xdr:rowOff>0</xdr:rowOff>
        </xdr:to>
        <xdr:sp macro="" textlink="">
          <xdr:nvSpPr>
            <xdr:cNvPr id="9254" name="Option 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DDAA3647-2B8E-465A-A076-F77C778E7D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99FF" mc:Ignorable="a14" a14:legacySpreadsheetColorIndex="46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2. Instrument (all strat.)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55" name="Group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55646503-B344-48A0-BCBC-F20D6D1297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Scan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23</xdr:col>
          <xdr:colOff>0</xdr:colOff>
          <xdr:row>11</xdr:row>
          <xdr:rowOff>0</xdr:rowOff>
        </xdr:to>
        <xdr:sp macro="" textlink="">
          <xdr:nvSpPr>
            <xdr:cNvPr id="9256" name="Group Box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3B84DDC-3C1C-4103-A40D-0DD3A4C6EB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KPI Maximize/Minimize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0</xdr:col>
          <xdr:colOff>0</xdr:colOff>
          <xdr:row>6</xdr:row>
          <xdr:rowOff>0</xdr:rowOff>
        </xdr:to>
        <xdr:sp macro="" textlink="">
          <xdr:nvSpPr>
            <xdr:cNvPr id="9257" name="Button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4CE60B3C-FCC7-4611-A6A9-B5CD2FF073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0</xdr:rowOff>
        </xdr:from>
        <xdr:to>
          <xdr:col>0</xdr:col>
          <xdr:colOff>0</xdr:colOff>
          <xdr:row>8</xdr:row>
          <xdr:rowOff>0</xdr:rowOff>
        </xdr:to>
        <xdr:sp macro="" textlink="">
          <xdr:nvSpPr>
            <xdr:cNvPr id="9258" name="Button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31FD1239-D526-4D92-B477-A1BFB56D51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5</xdr:row>
          <xdr:rowOff>0</xdr:rowOff>
        </xdr:from>
        <xdr:to>
          <xdr:col>30</xdr:col>
          <xdr:colOff>0</xdr:colOff>
          <xdr:row>7</xdr:row>
          <xdr:rowOff>0</xdr:rowOff>
        </xdr:to>
        <xdr:sp macro="" textlink="">
          <xdr:nvSpPr>
            <xdr:cNvPr id="9259" name="Button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71BE6FF2-D299-42B0-9F22-7DCB429005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8</xdr:row>
          <xdr:rowOff>0</xdr:rowOff>
        </xdr:from>
        <xdr:to>
          <xdr:col>30</xdr:col>
          <xdr:colOff>0</xdr:colOff>
          <xdr:row>10</xdr:row>
          <xdr:rowOff>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842906EC-6D7C-4460-AFF1-D5C73305B5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8</xdr:row>
          <xdr:rowOff>0</xdr:rowOff>
        </xdr:from>
        <xdr:to>
          <xdr:col>31</xdr:col>
          <xdr:colOff>0</xdr:colOff>
          <xdr:row>10</xdr:row>
          <xdr:rowOff>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F7BD3232-301E-44B6-AA91-B9DC99B657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262" name="Button 46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9F7323E8-401E-462F-97A5-9E9A3F967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&lt;&lt;&lt; Run Walk-Forward Analysis &gt;&gt;&gt;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10</xdr:row>
          <xdr:rowOff>0</xdr:rowOff>
        </xdr:from>
        <xdr:to>
          <xdr:col>31</xdr:col>
          <xdr:colOff>0</xdr:colOff>
          <xdr:row>13</xdr:row>
          <xdr:rowOff>0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B099FEDB-68B1-4382-989E-296A74D985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From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66675</xdr:colOff>
          <xdr:row>0</xdr:row>
          <xdr:rowOff>76200</xdr:rowOff>
        </xdr:from>
        <xdr:to>
          <xdr:col>27</xdr:col>
          <xdr:colOff>685800</xdr:colOff>
          <xdr:row>1</xdr:row>
          <xdr:rowOff>123825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7C980137-AAF0-4DBE-BA16-C1B60AB5B6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Gnr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9525</xdr:colOff>
          <xdr:row>5</xdr:row>
          <xdr:rowOff>0</xdr:rowOff>
        </xdr:from>
        <xdr:to>
          <xdr:col>31</xdr:col>
          <xdr:colOff>0</xdr:colOff>
          <xdr:row>7</xdr:row>
          <xdr:rowOff>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392C3354-F78D-4D5E-9341-F0DA600C90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Merge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184EA8B9-3A6C-4ED8-AFFB-F273E2486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9525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755CA5A1-44C7-49ED-B608-DDB249B520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9525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1790B391-A3FE-41BB-93CB-462056E39D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8C155755-50D9-4E7A-830A-D0E9D06078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9525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E6F84739-A0DF-4DBC-A93E-788455582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785E4CF-5D97-4515-B47C-A0B541941E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Locate Root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114300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4B504A3C-F61C-41D3-BE26-1D60AB1D70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Select 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114300</xdr:rowOff>
        </xdr:from>
        <xdr:to>
          <xdr:col>4</xdr:col>
          <xdr:colOff>600075</xdr:colOff>
          <xdr:row>5</xdr:row>
          <xdr:rowOff>142875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FC784585-66D1-44D6-8BC8-984CFD4455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audcad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142875</xdr:rowOff>
        </xdr:from>
        <xdr:to>
          <xdr:col>4</xdr:col>
          <xdr:colOff>600075</xdr:colOff>
          <xdr:row>6</xdr:row>
          <xdr:rowOff>171450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248CF0F0-1816-49D3-ACAD-7C78983C73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audchf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171450</xdr:rowOff>
        </xdr:from>
        <xdr:to>
          <xdr:col>4</xdr:col>
          <xdr:colOff>600075</xdr:colOff>
          <xdr:row>8</xdr:row>
          <xdr:rowOff>9525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A9840B97-35B1-47AB-B1D3-AE46C3A89F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audjpy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9525</xdr:rowOff>
        </xdr:from>
        <xdr:to>
          <xdr:col>4</xdr:col>
          <xdr:colOff>600075</xdr:colOff>
          <xdr:row>9</xdr:row>
          <xdr:rowOff>38100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A6F6F381-1F56-4870-8141-43FA704D53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audnzd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38100</xdr:rowOff>
        </xdr:from>
        <xdr:to>
          <xdr:col>4</xdr:col>
          <xdr:colOff>600075</xdr:colOff>
          <xdr:row>10</xdr:row>
          <xdr:rowOff>66675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A41D0964-0E11-4158-8612-9F891DBB0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audusd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600075</xdr:colOff>
          <xdr:row>11</xdr:row>
          <xdr:rowOff>95250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F36C1EAE-820C-4589-9518-28ACBABA9B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cadchf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95250</xdr:rowOff>
        </xdr:from>
        <xdr:to>
          <xdr:col>4</xdr:col>
          <xdr:colOff>600075</xdr:colOff>
          <xdr:row>12</xdr:row>
          <xdr:rowOff>123825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E1A22DDD-A491-4262-855D-91D2E857F5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cadjpy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123825</xdr:rowOff>
        </xdr:from>
        <xdr:to>
          <xdr:col>4</xdr:col>
          <xdr:colOff>600075</xdr:colOff>
          <xdr:row>13</xdr:row>
          <xdr:rowOff>152400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7CF42322-A0BA-47D5-A237-FD1F8E6768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chfjpy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152400</xdr:rowOff>
        </xdr:from>
        <xdr:to>
          <xdr:col>4</xdr:col>
          <xdr:colOff>600075</xdr:colOff>
          <xdr:row>14</xdr:row>
          <xdr:rowOff>180975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1587E34-DC54-4FA3-B629-04D93F29C4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euraud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180975</xdr:rowOff>
        </xdr:from>
        <xdr:to>
          <xdr:col>4</xdr:col>
          <xdr:colOff>600075</xdr:colOff>
          <xdr:row>16</xdr:row>
          <xdr:rowOff>19050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DD613A6-C5FA-4E45-B3FE-044212A0A6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eurcad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19050</xdr:rowOff>
        </xdr:from>
        <xdr:to>
          <xdr:col>4</xdr:col>
          <xdr:colOff>600075</xdr:colOff>
          <xdr:row>17</xdr:row>
          <xdr:rowOff>47625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546804FC-A3E2-419E-9F38-56B0DA0680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eurchf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47625</xdr:rowOff>
        </xdr:from>
        <xdr:to>
          <xdr:col>4</xdr:col>
          <xdr:colOff>600075</xdr:colOff>
          <xdr:row>18</xdr:row>
          <xdr:rowOff>76200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36AE3835-DF9A-4249-BF89-7C6339E96A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eurgbp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76200</xdr:rowOff>
        </xdr:from>
        <xdr:to>
          <xdr:col>4</xdr:col>
          <xdr:colOff>600075</xdr:colOff>
          <xdr:row>19</xdr:row>
          <xdr:rowOff>104775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3C677167-0877-4293-9AC5-C561C8B7AF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eurjpy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104775</xdr:rowOff>
        </xdr:from>
        <xdr:to>
          <xdr:col>4</xdr:col>
          <xdr:colOff>600075</xdr:colOff>
          <xdr:row>20</xdr:row>
          <xdr:rowOff>133350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7C7C0203-107B-47FC-B3F6-E702755D90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eurnzd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133350</xdr:rowOff>
        </xdr:from>
        <xdr:to>
          <xdr:col>4</xdr:col>
          <xdr:colOff>600075</xdr:colOff>
          <xdr:row>21</xdr:row>
          <xdr:rowOff>161925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2BAC1BDE-8790-4649-BD97-226FABB747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eurusd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4</xdr:row>
          <xdr:rowOff>114300</xdr:rowOff>
        </xdr:from>
        <xdr:to>
          <xdr:col>5</xdr:col>
          <xdr:colOff>0</xdr:colOff>
          <xdr:row>5</xdr:row>
          <xdr:rowOff>142875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E474D4E9-73EF-4023-B6B7-60C36DDBD4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gbpaud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5</xdr:row>
          <xdr:rowOff>142875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37ADA3C9-4FC2-4F71-AF83-2221C07E77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gbpcad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6</xdr:row>
          <xdr:rowOff>171450</xdr:rowOff>
        </xdr:from>
        <xdr:to>
          <xdr:col>5</xdr:col>
          <xdr:colOff>0</xdr:colOff>
          <xdr:row>8</xdr:row>
          <xdr:rowOff>9525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69E3A0D6-F619-487A-9BDE-761CE29497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gbpchf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8</xdr:row>
          <xdr:rowOff>9525</xdr:rowOff>
        </xdr:from>
        <xdr:to>
          <xdr:col>5</xdr:col>
          <xdr:colOff>0</xdr:colOff>
          <xdr:row>9</xdr:row>
          <xdr:rowOff>38100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D99D33F9-8768-423E-977D-466EC45C1C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gbpjpy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9</xdr:row>
          <xdr:rowOff>38100</xdr:rowOff>
        </xdr:from>
        <xdr:to>
          <xdr:col>5</xdr:col>
          <xdr:colOff>0</xdr:colOff>
          <xdr:row>10</xdr:row>
          <xdr:rowOff>66675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BC09A475-E6A3-445A-BC15-8A5C3C218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gbpnzd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10</xdr:row>
          <xdr:rowOff>66675</xdr:rowOff>
        </xdr:from>
        <xdr:to>
          <xdr:col>5</xdr:col>
          <xdr:colOff>0</xdr:colOff>
          <xdr:row>11</xdr:row>
          <xdr:rowOff>95250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C7567125-82FC-48BF-B6CF-E56028AE6E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gbpusd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11</xdr:row>
          <xdr:rowOff>95250</xdr:rowOff>
        </xdr:from>
        <xdr:to>
          <xdr:col>5</xdr:col>
          <xdr:colOff>0</xdr:colOff>
          <xdr:row>12</xdr:row>
          <xdr:rowOff>123825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9DD75A4A-C132-4D85-A8AF-0EC19F86C5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nzdcad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12</xdr:row>
          <xdr:rowOff>123825</xdr:rowOff>
        </xdr:from>
        <xdr:to>
          <xdr:col>5</xdr:col>
          <xdr:colOff>0</xdr:colOff>
          <xdr:row>13</xdr:row>
          <xdr:rowOff>152400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1BF40033-3E90-49A7-BAAA-D61BBAC02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nzdchf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13</xdr:row>
          <xdr:rowOff>152400</xdr:rowOff>
        </xdr:from>
        <xdr:to>
          <xdr:col>5</xdr:col>
          <xdr:colOff>0</xdr:colOff>
          <xdr:row>14</xdr:row>
          <xdr:rowOff>180975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89E84DD1-8C33-4C63-A2EF-EF70FDAB89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nzdjpy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14</xdr:row>
          <xdr:rowOff>180975</xdr:rowOff>
        </xdr:from>
        <xdr:to>
          <xdr:col>5</xdr:col>
          <xdr:colOff>0</xdr:colOff>
          <xdr:row>16</xdr:row>
          <xdr:rowOff>19050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ED62AE9A-AB73-4D1F-BC54-D7EBA2008C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nzdusd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16</xdr:row>
          <xdr:rowOff>19050</xdr:rowOff>
        </xdr:from>
        <xdr:to>
          <xdr:col>5</xdr:col>
          <xdr:colOff>0</xdr:colOff>
          <xdr:row>17</xdr:row>
          <xdr:rowOff>47625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34C66C9F-DD15-4ACE-B093-04F559C49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usdcad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17</xdr:row>
          <xdr:rowOff>47625</xdr:rowOff>
        </xdr:from>
        <xdr:to>
          <xdr:col>5</xdr:col>
          <xdr:colOff>0</xdr:colOff>
          <xdr:row>18</xdr:row>
          <xdr:rowOff>76200</xdr:rowOff>
        </xdr:to>
        <xdr:sp macro="" textlink="">
          <xdr:nvSpPr>
            <xdr:cNvPr id="5148" name="Check Box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6A38DA35-6522-4C3B-838C-AB4223698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usdchf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18</xdr:row>
          <xdr:rowOff>76200</xdr:rowOff>
        </xdr:from>
        <xdr:to>
          <xdr:col>5</xdr:col>
          <xdr:colOff>0</xdr:colOff>
          <xdr:row>19</xdr:row>
          <xdr:rowOff>104775</xdr:rowOff>
        </xdr:to>
        <xdr:sp macro="" textlink="">
          <xdr:nvSpPr>
            <xdr:cNvPr id="5149" name="Check Box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7263BC8-378C-46CC-8AE2-88A7572DAB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usdjpy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19</xdr:row>
          <xdr:rowOff>104775</xdr:rowOff>
        </xdr:from>
        <xdr:to>
          <xdr:col>5</xdr:col>
          <xdr:colOff>0</xdr:colOff>
          <xdr:row>20</xdr:row>
          <xdr:rowOff>133350</xdr:rowOff>
        </xdr:to>
        <xdr:sp macro="" textlink="">
          <xdr:nvSpPr>
            <xdr:cNvPr id="5150" name="Check Box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C2731D06-0A58-452D-9446-129F773E2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xagusd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20</xdr:row>
          <xdr:rowOff>133350</xdr:rowOff>
        </xdr:from>
        <xdr:to>
          <xdr:col>5</xdr:col>
          <xdr:colOff>0</xdr:colOff>
          <xdr:row>21</xdr:row>
          <xdr:rowOff>161925</xdr:rowOff>
        </xdr:to>
        <xdr:sp macro="" textlink="">
          <xdr:nvSpPr>
            <xdr:cNvPr id="5151" name="Check Box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7387698A-6FC6-4704-A210-EE13779951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63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xauusd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9525</xdr:rowOff>
        </xdr:from>
        <xdr:to>
          <xdr:col>3</xdr:col>
          <xdr:colOff>0</xdr:colOff>
          <xdr:row>2</xdr:row>
          <xdr:rowOff>95250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3AAD5935-9C6E-4C51-965F-C680950CB5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Locate parent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F1BDDE5A-7E4B-4E7D-9476-F2D2B76F53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HTMLs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</xdr:row>
          <xdr:rowOff>9525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24B4B724-920F-4938-BC24-9CE3CB9606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9525</xdr:rowOff>
        </xdr:from>
        <xdr:to>
          <xdr:col>3</xdr:col>
          <xdr:colOff>0</xdr:colOff>
          <xdr:row>10</xdr:row>
          <xdr:rowOff>104775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7353785C-EA9B-4333-AB15-CCF4455125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Locate 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95250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2C68CC0B-FE91-4255-9150-2A116739C1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source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CE9FBB0A-70CD-4823-A53C-9773264C88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Join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windows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4</xdr:col>
          <xdr:colOff>590550</xdr:colOff>
          <xdr:row>2</xdr:row>
          <xdr:rowOff>66675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643D4A9D-CFAA-4F42-878B-4CA85B0D4E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1</xdr:row>
          <xdr:rowOff>9525</xdr:rowOff>
        </xdr:from>
        <xdr:to>
          <xdr:col>5</xdr:col>
          <xdr:colOff>0</xdr:colOff>
          <xdr:row>2</xdr:row>
          <xdr:rowOff>66675</xdr:rowOff>
        </xdr:to>
        <xdr:sp macro="" textlink="">
          <xdr:nvSpPr>
            <xdr:cNvPr id="5159" name="Button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943B490D-1791-4B7F-B209-C1AAD0A65D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18" Type="http://schemas.openxmlformats.org/officeDocument/2006/relationships/ctrlProp" Target="../ctrlProps/ctrlProp66.xml"/><Relationship Id="rId26" Type="http://schemas.openxmlformats.org/officeDocument/2006/relationships/ctrlProp" Target="../ctrlProps/ctrlProp74.xml"/><Relationship Id="rId39" Type="http://schemas.openxmlformats.org/officeDocument/2006/relationships/ctrlProp" Target="../ctrlProps/ctrlProp8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9.xml"/><Relationship Id="rId34" Type="http://schemas.openxmlformats.org/officeDocument/2006/relationships/ctrlProp" Target="../ctrlProps/ctrlProp82.xml"/><Relationship Id="rId42" Type="http://schemas.openxmlformats.org/officeDocument/2006/relationships/ctrlProp" Target="../ctrlProps/ctrlProp90.x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17" Type="http://schemas.openxmlformats.org/officeDocument/2006/relationships/ctrlProp" Target="../ctrlProps/ctrlProp65.xml"/><Relationship Id="rId25" Type="http://schemas.openxmlformats.org/officeDocument/2006/relationships/ctrlProp" Target="../ctrlProps/ctrlProp73.xml"/><Relationship Id="rId33" Type="http://schemas.openxmlformats.org/officeDocument/2006/relationships/ctrlProp" Target="../ctrlProps/ctrlProp81.xml"/><Relationship Id="rId38" Type="http://schemas.openxmlformats.org/officeDocument/2006/relationships/ctrlProp" Target="../ctrlProps/ctrlProp8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4.xml"/><Relationship Id="rId20" Type="http://schemas.openxmlformats.org/officeDocument/2006/relationships/ctrlProp" Target="../ctrlProps/ctrlProp68.xml"/><Relationship Id="rId29" Type="http://schemas.openxmlformats.org/officeDocument/2006/relationships/ctrlProp" Target="../ctrlProps/ctrlProp77.xml"/><Relationship Id="rId41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24" Type="http://schemas.openxmlformats.org/officeDocument/2006/relationships/ctrlProp" Target="../ctrlProps/ctrlProp72.xml"/><Relationship Id="rId32" Type="http://schemas.openxmlformats.org/officeDocument/2006/relationships/ctrlProp" Target="../ctrlProps/ctrlProp80.xml"/><Relationship Id="rId37" Type="http://schemas.openxmlformats.org/officeDocument/2006/relationships/ctrlProp" Target="../ctrlProps/ctrlProp85.xml"/><Relationship Id="rId40" Type="http://schemas.openxmlformats.org/officeDocument/2006/relationships/ctrlProp" Target="../ctrlProps/ctrlProp88.xml"/><Relationship Id="rId5" Type="http://schemas.openxmlformats.org/officeDocument/2006/relationships/ctrlProp" Target="../ctrlProps/ctrlProp53.xml"/><Relationship Id="rId15" Type="http://schemas.openxmlformats.org/officeDocument/2006/relationships/ctrlProp" Target="../ctrlProps/ctrlProp63.xml"/><Relationship Id="rId23" Type="http://schemas.openxmlformats.org/officeDocument/2006/relationships/ctrlProp" Target="../ctrlProps/ctrlProp71.xml"/><Relationship Id="rId28" Type="http://schemas.openxmlformats.org/officeDocument/2006/relationships/ctrlProp" Target="../ctrlProps/ctrlProp76.xml"/><Relationship Id="rId36" Type="http://schemas.openxmlformats.org/officeDocument/2006/relationships/ctrlProp" Target="../ctrlProps/ctrlProp84.xml"/><Relationship Id="rId10" Type="http://schemas.openxmlformats.org/officeDocument/2006/relationships/ctrlProp" Target="../ctrlProps/ctrlProp58.xml"/><Relationship Id="rId19" Type="http://schemas.openxmlformats.org/officeDocument/2006/relationships/ctrlProp" Target="../ctrlProps/ctrlProp67.xml"/><Relationship Id="rId31" Type="http://schemas.openxmlformats.org/officeDocument/2006/relationships/ctrlProp" Target="../ctrlProps/ctrlProp79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Relationship Id="rId22" Type="http://schemas.openxmlformats.org/officeDocument/2006/relationships/ctrlProp" Target="../ctrlProps/ctrlProp70.xml"/><Relationship Id="rId27" Type="http://schemas.openxmlformats.org/officeDocument/2006/relationships/ctrlProp" Target="../ctrlProps/ctrlProp75.xml"/><Relationship Id="rId30" Type="http://schemas.openxmlformats.org/officeDocument/2006/relationships/ctrlProp" Target="../ctrlProps/ctrlProp78.xml"/><Relationship Id="rId35" Type="http://schemas.openxmlformats.org/officeDocument/2006/relationships/ctrlProp" Target="../ctrlProps/ctrlProp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94"/>
  <sheetViews>
    <sheetView tabSelected="1" workbookViewId="0"/>
  </sheetViews>
  <sheetFormatPr defaultRowHeight="15" x14ac:dyDescent="0.25"/>
  <cols>
    <col min="24" max="24" width="5" customWidth="1"/>
    <col min="25" max="27" width="12.5703125" customWidth="1"/>
    <col min="28" max="28" width="11.28515625" customWidth="1"/>
    <col min="29" max="29" width="33.42578125" bestFit="1" customWidth="1"/>
    <col min="30" max="30" width="15.7109375" customWidth="1"/>
    <col min="32" max="32" width="9.140625" customWidth="1"/>
  </cols>
  <sheetData>
    <row r="1" spans="1:30" x14ac:dyDescent="0.25">
      <c r="A1" s="1"/>
      <c r="B1" s="1"/>
      <c r="C1" s="1"/>
      <c r="D1" s="1"/>
      <c r="E1" s="1"/>
      <c r="F1" s="1"/>
      <c r="Y1" s="19" t="s">
        <v>91</v>
      </c>
      <c r="Z1" s="19"/>
      <c r="AA1" s="19"/>
      <c r="AC1" s="5" t="s">
        <v>88</v>
      </c>
    </row>
    <row r="2" spans="1:30" x14ac:dyDescent="0.25">
      <c r="A2" s="8"/>
      <c r="B2" s="8"/>
      <c r="C2" s="8"/>
      <c r="D2" s="8"/>
      <c r="E2" s="8"/>
      <c r="F2" s="8"/>
      <c r="Y2" s="9" t="s">
        <v>85</v>
      </c>
      <c r="Z2" s="9" t="s">
        <v>86</v>
      </c>
      <c r="AA2" s="9" t="s">
        <v>87</v>
      </c>
      <c r="AC2" t="s">
        <v>0</v>
      </c>
      <c r="AD2" s="17">
        <v>40182</v>
      </c>
    </row>
    <row r="3" spans="1:30" x14ac:dyDescent="0.25">
      <c r="A3" s="8"/>
      <c r="B3" s="8"/>
      <c r="C3" s="8"/>
      <c r="D3" s="8"/>
      <c r="E3" s="8"/>
      <c r="F3" s="8"/>
      <c r="Y3">
        <v>260</v>
      </c>
      <c r="Z3">
        <v>52</v>
      </c>
      <c r="AA3" t="s">
        <v>107</v>
      </c>
      <c r="AC3" t="s">
        <v>1</v>
      </c>
      <c r="AD3" s="17">
        <v>44374</v>
      </c>
    </row>
    <row r="4" spans="1:30" x14ac:dyDescent="0.25">
      <c r="A4" s="8"/>
      <c r="B4" s="8"/>
      <c r="C4" s="8"/>
      <c r="D4" s="8"/>
      <c r="E4" s="8"/>
      <c r="F4" s="8"/>
      <c r="AC4" t="s">
        <v>2</v>
      </c>
      <c r="AD4" s="18">
        <v>0.15</v>
      </c>
    </row>
    <row r="5" spans="1:30" x14ac:dyDescent="0.25">
      <c r="A5" s="8"/>
      <c r="B5" s="8"/>
      <c r="C5" s="8"/>
      <c r="D5" s="8"/>
      <c r="E5" s="8"/>
      <c r="F5" s="8"/>
      <c r="AC5" s="6" t="s">
        <v>3</v>
      </c>
      <c r="AD5" s="7">
        <v>1E-4</v>
      </c>
    </row>
    <row r="6" spans="1:30" x14ac:dyDescent="0.25">
      <c r="A6" s="1"/>
      <c r="B6" s="1"/>
      <c r="C6" s="1"/>
      <c r="D6" s="1"/>
      <c r="E6" s="1"/>
      <c r="F6" s="1"/>
      <c r="AC6" s="5" t="s">
        <v>89</v>
      </c>
    </row>
    <row r="7" spans="1:30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AC7" t="s">
        <v>120</v>
      </c>
    </row>
    <row r="8" spans="1:30" x14ac:dyDescent="0.25">
      <c r="A8" s="8"/>
      <c r="W8" s="8"/>
      <c r="AC8" s="5" t="s">
        <v>84</v>
      </c>
    </row>
    <row r="9" spans="1:30" x14ac:dyDescent="0.25">
      <c r="A9" s="8"/>
      <c r="W9" s="8"/>
      <c r="AC9" t="s">
        <v>147</v>
      </c>
    </row>
    <row r="10" spans="1:30" x14ac:dyDescent="0.25">
      <c r="A10" s="8"/>
      <c r="W10" s="8"/>
    </row>
    <row r="11" spans="1:30" x14ac:dyDescent="0.25">
      <c r="A11" s="8"/>
      <c r="W11" s="8"/>
    </row>
    <row r="13" spans="1:30" x14ac:dyDescent="0.25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30" x14ac:dyDescent="0.25">
      <c r="C14" s="10" t="s">
        <v>4</v>
      </c>
      <c r="D14" s="10" t="s">
        <v>5</v>
      </c>
      <c r="E14" s="10" t="s">
        <v>4</v>
      </c>
      <c r="F14" s="10" t="s">
        <v>5</v>
      </c>
      <c r="G14" s="10" t="s">
        <v>4</v>
      </c>
      <c r="H14" s="10" t="s">
        <v>5</v>
      </c>
      <c r="I14" s="10" t="s">
        <v>4</v>
      </c>
      <c r="J14" s="10" t="s">
        <v>5</v>
      </c>
      <c r="K14" s="10" t="s">
        <v>4</v>
      </c>
      <c r="L14" s="10" t="s">
        <v>5</v>
      </c>
      <c r="M14" s="10" t="s">
        <v>4</v>
      </c>
      <c r="N14" s="10" t="s">
        <v>5</v>
      </c>
      <c r="O14" s="10" t="s">
        <v>4</v>
      </c>
      <c r="P14" s="10" t="s">
        <v>5</v>
      </c>
      <c r="Q14" s="10" t="s">
        <v>4</v>
      </c>
      <c r="R14" s="10" t="s">
        <v>5</v>
      </c>
      <c r="S14" s="10" t="s">
        <v>4</v>
      </c>
      <c r="T14" s="10" t="s">
        <v>5</v>
      </c>
      <c r="U14" s="10" t="s">
        <v>4</v>
      </c>
      <c r="V14" s="10" t="s">
        <v>5</v>
      </c>
      <c r="W14" s="2"/>
      <c r="AB14" s="2"/>
    </row>
    <row r="15" spans="1:30" x14ac:dyDescent="0.25">
      <c r="C15">
        <v>0.05</v>
      </c>
      <c r="D15">
        <v>1000</v>
      </c>
      <c r="E15">
        <v>0.6</v>
      </c>
      <c r="F15">
        <v>1000</v>
      </c>
      <c r="K15">
        <v>0.4</v>
      </c>
      <c r="L15">
        <v>1000</v>
      </c>
      <c r="M15" s="1"/>
      <c r="N15" s="1"/>
    </row>
    <row r="16" spans="1:30" x14ac:dyDescent="0.25">
      <c r="E16">
        <v>0.7</v>
      </c>
      <c r="F16">
        <v>1000</v>
      </c>
      <c r="K16">
        <v>0.5</v>
      </c>
      <c r="L16">
        <v>1000</v>
      </c>
    </row>
    <row r="17" spans="5:12" x14ac:dyDescent="0.25">
      <c r="E17">
        <v>0.8</v>
      </c>
      <c r="F17">
        <v>1000</v>
      </c>
      <c r="K17">
        <v>0.6</v>
      </c>
      <c r="L17">
        <v>1000</v>
      </c>
    </row>
    <row r="18" spans="5:12" x14ac:dyDescent="0.25">
      <c r="E18">
        <v>0.9</v>
      </c>
      <c r="F18">
        <v>1000</v>
      </c>
      <c r="K18">
        <v>0.7</v>
      </c>
      <c r="L18">
        <v>1000</v>
      </c>
    </row>
    <row r="21" spans="5:12" x14ac:dyDescent="0.25">
      <c r="G21" s="4"/>
      <c r="H21" s="4"/>
      <c r="K21" s="4"/>
    </row>
    <row r="22" spans="5:12" x14ac:dyDescent="0.25">
      <c r="G22" s="11"/>
      <c r="H22" s="11"/>
      <c r="K22" s="11"/>
      <c r="L22" s="11"/>
    </row>
    <row r="57" spans="2:2" x14ac:dyDescent="0.25">
      <c r="B57" s="4"/>
    </row>
    <row r="58" spans="2:2" x14ac:dyDescent="0.25">
      <c r="B58" s="4"/>
    </row>
    <row r="59" spans="2:2" x14ac:dyDescent="0.25">
      <c r="B59" s="4"/>
    </row>
    <row r="60" spans="2:2" x14ac:dyDescent="0.25">
      <c r="B60" s="4"/>
    </row>
    <row r="61" spans="2:2" x14ac:dyDescent="0.25">
      <c r="B61" s="4"/>
    </row>
    <row r="62" spans="2:2" x14ac:dyDescent="0.25">
      <c r="B62" s="4"/>
    </row>
    <row r="63" spans="2:2" x14ac:dyDescent="0.25">
      <c r="B63" s="4"/>
    </row>
    <row r="64" spans="2:2" x14ac:dyDescent="0.25">
      <c r="B64" s="4"/>
    </row>
    <row r="65" spans="2:2" x14ac:dyDescent="0.25">
      <c r="B65" s="4"/>
    </row>
    <row r="66" spans="2:2" x14ac:dyDescent="0.25">
      <c r="B66" s="4"/>
    </row>
    <row r="67" spans="2:2" x14ac:dyDescent="0.25">
      <c r="B67" s="4"/>
    </row>
    <row r="68" spans="2:2" x14ac:dyDescent="0.25">
      <c r="B68" s="4"/>
    </row>
    <row r="69" spans="2:2" x14ac:dyDescent="0.25">
      <c r="B69" s="4"/>
    </row>
    <row r="70" spans="2:2" x14ac:dyDescent="0.25">
      <c r="B70" s="4"/>
    </row>
    <row r="71" spans="2:2" x14ac:dyDescent="0.25">
      <c r="B71" s="4"/>
    </row>
    <row r="72" spans="2:2" x14ac:dyDescent="0.25">
      <c r="B72" s="4"/>
    </row>
    <row r="73" spans="2:2" x14ac:dyDescent="0.25">
      <c r="B73" s="4"/>
    </row>
    <row r="74" spans="2:2" x14ac:dyDescent="0.25">
      <c r="B74" s="4"/>
    </row>
    <row r="75" spans="2:2" x14ac:dyDescent="0.25">
      <c r="B75" s="4"/>
    </row>
    <row r="76" spans="2:2" x14ac:dyDescent="0.25">
      <c r="B76" s="4"/>
    </row>
    <row r="77" spans="2:2" x14ac:dyDescent="0.25">
      <c r="B77" s="4"/>
    </row>
    <row r="78" spans="2:2" x14ac:dyDescent="0.25">
      <c r="B78" s="4"/>
    </row>
    <row r="79" spans="2:2" x14ac:dyDescent="0.25">
      <c r="B79" s="4"/>
    </row>
    <row r="80" spans="2:2" x14ac:dyDescent="0.25">
      <c r="B80" s="4"/>
    </row>
    <row r="81" spans="2:2" x14ac:dyDescent="0.25">
      <c r="B81" s="4"/>
    </row>
    <row r="82" spans="2:2" x14ac:dyDescent="0.25">
      <c r="B82" s="4"/>
    </row>
    <row r="83" spans="2:2" x14ac:dyDescent="0.25">
      <c r="B83" s="4"/>
    </row>
    <row r="84" spans="2:2" x14ac:dyDescent="0.25">
      <c r="B84" s="4"/>
    </row>
    <row r="85" spans="2:2" x14ac:dyDescent="0.25">
      <c r="B85" s="4"/>
    </row>
    <row r="86" spans="2:2" x14ac:dyDescent="0.25">
      <c r="B86" s="4"/>
    </row>
    <row r="87" spans="2:2" x14ac:dyDescent="0.25">
      <c r="B87" s="4"/>
    </row>
    <row r="88" spans="2:2" x14ac:dyDescent="0.25">
      <c r="B88" s="4"/>
    </row>
    <row r="89" spans="2:2" x14ac:dyDescent="0.25">
      <c r="B89" s="4"/>
    </row>
    <row r="90" spans="2:2" x14ac:dyDescent="0.25">
      <c r="B90" s="4"/>
    </row>
    <row r="91" spans="2:2" x14ac:dyDescent="0.25">
      <c r="B91" s="4"/>
    </row>
    <row r="92" spans="2:2" x14ac:dyDescent="0.25">
      <c r="B92" s="4"/>
    </row>
    <row r="93" spans="2:2" x14ac:dyDescent="0.25">
      <c r="B93" s="4"/>
    </row>
    <row r="94" spans="2:2" x14ac:dyDescent="0.25">
      <c r="B94" s="4"/>
    </row>
  </sheetData>
  <dataConsolidate/>
  <mergeCells count="1">
    <mergeCell ref="Y1:AA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eck Box 5">
              <controlPr defaultSize="0" autoFill="0" autoLine="0" autoPict="0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eck Box 6">
              <controlPr defaultSize="0" autoFill="0" autoLine="0" autoPict="0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Check Box 7">
              <controlPr defaultSize="0" autoFill="0" autoLine="0" autoPict="0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Check Box 8">
              <controlPr defaultSize="0" autoFill="0" autoLine="0" autoPict="0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18</xdr:col>
                    <xdr:colOff>0</xdr:colOff>
                    <xdr:row>11</xdr:row>
                    <xdr:rowOff>0</xdr:rowOff>
                  </from>
                  <to>
                    <xdr:col>20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eck Box 10">
              <controlPr defaultSize="0" autoFill="0" autoLine="0" autoPict="0">
                <anchor moveWithCells="1">
                  <from>
                    <xdr:col>20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4" name="Option Button 12">
              <controlPr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Option Button 14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Option Button 15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7" name="Option Button 16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8" name="Option Button 17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9" name="Option Button 18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0" name="Option Button 19">
              <controlPr defaultSize="0" autoFill="0" autoLine="0" autoPict="0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1" name="Option Button 20">
              <controlPr defaultSize="0" autoFill="0" autoLine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2" name="Option Button 21">
              <controlPr defaultSize="0" autoFill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3" name="Option Button 22">
              <controlPr defaultSize="0" autoFill="0" autoLine="0" autoPict="0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4" name="Option Button 23">
              <controlPr defaultSize="0" autoFill="0" autoLine="0" autoPict="0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5" name="Option Button 24">
              <controlPr defaultSize="0" autoFill="0" autoLine="0" autoPict="0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6" name="Option Button 25">
              <controlPr defaultSize="0" autoFill="0" autoLine="0" autoPict="0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7" name="Option Button 26">
              <controlPr defaultSize="0" autoFill="0" autoLine="0" autoPict="0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8" name="Option Button 27">
              <controlPr defaultSize="0" autoFill="0" autoLine="0" autoPict="0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9" name="Option Button 28">
              <controlPr defaultSize="0" autoFill="0" autoLine="0" autoPict="0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0" name="Option Button 29">
              <controlPr defaultSize="0" autoFill="0" autoLine="0" autoPict="0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1" name="Option Button 30">
              <controlPr defaultSize="0" autoFill="0" autoLine="0" autoPict="0">
                <anchor moveWithCells="1">
                  <from>
                    <xdr:col>18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2" name="Option Button 31">
              <controlPr defaultSize="0" autoFill="0" autoLine="0" autoPict="0">
                <anchor mov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3" name="Option Button 32">
              <controlPr defaultSize="0" autoFill="0" autoLine="0" autoPict="0">
                <anchor moveWithCells="1">
                  <from>
                    <xdr:col>20</xdr:col>
                    <xdr:colOff>0</xdr:colOff>
                    <xdr:row>7</xdr:row>
                    <xdr:rowOff>0</xdr:rowOff>
                  </from>
                  <to>
                    <xdr:col>22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4" name="Option Button 33">
              <controlPr defaultSize="0" autoFill="0" autoLine="0" autoPict="0">
                <anchor moveWithCells="1">
                  <from>
                    <xdr:col>20</xdr:col>
                    <xdr:colOff>0</xdr:colOff>
                    <xdr:row>9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5" name="Check Box 36">
              <controlPr defaultSize="0" autoFill="0" autoLine="0" autoPict="0" macro="[0]!DeSelect_KPIs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6" name="Option Button 37">
              <controlPr defaultSize="0" autoFill="0" autoLine="0" autoPict="0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7" name="Option Button 38">
              <controlPr defaultSize="0" autoFill="0" autoLine="0" autoPict="0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8" name="Group Box 39">
              <controlPr defaultSize="0" autoFill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9" name="Group Box 40">
              <controlPr defaultSize="0" autoFill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23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0" name="Button 41">
              <controlPr defaultSize="0" print="0" autoFill="0" autoPict="0" macro="[0]!Click_Locate_Target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1" name="Button 42">
              <controlPr defaultSize="0" print="0" autoFill="0" autoPict="0" macro="[0]!Click_Add_Source">
                <anchor moveWithCells="1" siz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2" name="Button 43">
              <controlPr defaultSize="0" print="0" autoFill="0" autoPict="0" macro="[0]!Click_Locate_Target">
                <anchor moveWithCells="1" sizeWithCells="1">
                  <from>
                    <xdr:col>29</xdr:col>
                    <xdr:colOff>0</xdr:colOff>
                    <xdr:row>5</xdr:row>
                    <xdr:rowOff>0</xdr:rowOff>
                  </from>
                  <to>
                    <xdr:col>30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3" name="Button 44">
              <controlPr defaultSize="0" print="0" autoFill="0" autoPict="0" macro="[0]!Click_Add_Source">
                <anchor moveWithCells="1" sizeWithCells="1">
                  <from>
                    <xdr:col>29</xdr:col>
                    <xdr:colOff>0</xdr:colOff>
                    <xdr:row>8</xdr:row>
                    <xdr:rowOff>0</xdr:rowOff>
                  </from>
                  <to>
                    <xdr:col>30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4" name="Button 45">
              <controlPr defaultSize="0" print="0" autoFill="0" autoPict="0" macro="[0]!Click_Clear_Sources">
                <anchor moveWithCells="1" sizeWithCells="1">
                  <from>
                    <xdr:col>30</xdr:col>
                    <xdr:colOff>0</xdr:colOff>
                    <xdr:row>8</xdr:row>
                    <xdr:rowOff>0</xdr:rowOff>
                  </from>
                  <to>
                    <xdr:col>31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5" name="Button 46">
              <controlPr defaultSize="0" print="0" autoFill="0" autoPict="0" macro="[0]!WFA_Run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6" name="Button 47">
              <controlPr defaultSize="0" print="0" autoFill="0" autoPict="0" macro="[0]!Click_Copy_Dates_From_Selection">
                <anchor moveWithCells="1" sizeWithCells="1">
                  <from>
                    <xdr:col>29</xdr:col>
                    <xdr:colOff>0</xdr:colOff>
                    <xdr:row>10</xdr:row>
                    <xdr:rowOff>0</xdr:rowOff>
                  </from>
                  <to>
                    <xdr:col>31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47" name="Button 48">
              <controlPr defaultSize="0" print="0" autoFill="0" autoPict="0" macro="[0]!GenerateIsOsCodes">
                <anchor moveWithCells="1" sizeWithCells="1">
                  <from>
                    <xdr:col>27</xdr:col>
                    <xdr:colOff>66675</xdr:colOff>
                    <xdr:row>0</xdr:row>
                    <xdr:rowOff>76200</xdr:rowOff>
                  </from>
                  <to>
                    <xdr:col>27</xdr:col>
                    <xdr:colOff>685800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8" name="Button 49">
              <controlPr defaultSize="0" print="0" autoFill="0" autoPict="0" macro="[0]!MergeWfaSummaries">
                <anchor moveWithCells="1" sizeWithCells="1">
                  <from>
                    <xdr:col>30</xdr:col>
                    <xdr:colOff>9525</xdr:colOff>
                    <xdr:row>5</xdr:row>
                    <xdr:rowOff>0</xdr:rowOff>
                  </from>
                  <to>
                    <xdr:col>31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7"/>
  <sheetViews>
    <sheetView workbookViewId="0">
      <selection activeCell="C14" sqref="C14"/>
    </sheetView>
  </sheetViews>
  <sheetFormatPr defaultRowHeight="15" x14ac:dyDescent="0.25"/>
  <cols>
    <col min="1" max="1" width="33.42578125" customWidth="1"/>
    <col min="2" max="2" width="12.140625" customWidth="1"/>
    <col min="3" max="3" width="59.7109375" bestFit="1" customWidth="1"/>
  </cols>
  <sheetData>
    <row r="1" spans="1:3" x14ac:dyDescent="0.25">
      <c r="A1" s="20" t="s">
        <v>145</v>
      </c>
      <c r="B1" s="20"/>
      <c r="C1" s="20"/>
    </row>
    <row r="2" spans="1:3" x14ac:dyDescent="0.25">
      <c r="A2" s="2" t="s">
        <v>142</v>
      </c>
      <c r="C2" t="s">
        <v>148</v>
      </c>
    </row>
    <row r="3" spans="1:3" x14ac:dyDescent="0.25">
      <c r="A3" s="2" t="s">
        <v>143</v>
      </c>
      <c r="C3" t="s">
        <v>149</v>
      </c>
    </row>
    <row r="4" spans="1:3" x14ac:dyDescent="0.25">
      <c r="A4" s="2" t="s">
        <v>144</v>
      </c>
      <c r="C4" t="s">
        <v>150</v>
      </c>
    </row>
    <row r="5" spans="1:3" x14ac:dyDescent="0.25">
      <c r="A5" s="2"/>
    </row>
    <row r="6" spans="1:3" x14ac:dyDescent="0.25">
      <c r="A6" s="20" t="s">
        <v>146</v>
      </c>
      <c r="B6" s="20"/>
      <c r="C6" s="20"/>
    </row>
    <row r="7" spans="1:3" x14ac:dyDescent="0.25">
      <c r="A7" s="2" t="s">
        <v>89</v>
      </c>
      <c r="C7" t="s">
        <v>151</v>
      </c>
    </row>
  </sheetData>
  <mergeCells count="2">
    <mergeCell ref="A1:C1"/>
    <mergeCell ref="A6:C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lickLocateFundsHistory">
                <anchor moveWithCells="1" sizeWithCells="1"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ClickLocatePortfolioSummary">
                <anchor moveWithCells="1" sizeWithCells="1">
                  <from>
                    <xdr:col>1</xdr:col>
                    <xdr:colOff>0</xdr:colOff>
                    <xdr:row>2</xdr:row>
                    <xdr:rowOff>9525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lickLocatePositionsClose">
                <anchor moveWithCells="1" sizeWithCells="1">
                  <from>
                    <xdr:col>1</xdr:col>
                    <xdr:colOff>0</xdr:colOff>
                    <xdr:row>3</xdr:row>
                    <xdr:rowOff>9525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ProcessStatementsMain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5">
              <controlPr defaultSize="0" print="0" autoFill="0" autoPict="0" macro="[0]!ClickLocateStatementTargetDirectory">
                <anchor moveWithCells="1" sizeWithCells="1">
                  <from>
                    <xdr:col>1</xdr:col>
                    <xdr:colOff>0</xdr:colOff>
                    <xdr:row>6</xdr:row>
                    <xdr:rowOff>9525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Button 6">
              <controlPr defaultSize="0" print="0" autoFill="0" autoPict="0" macro="[0]!ClickLocateRoot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2"/>
  <sheetViews>
    <sheetView workbookViewId="0">
      <selection activeCell="B1" sqref="B1"/>
    </sheetView>
  </sheetViews>
  <sheetFormatPr defaultRowHeight="15" x14ac:dyDescent="0.25"/>
  <cols>
    <col min="1" max="1" width="17.28515625" bestFit="1" customWidth="1"/>
    <col min="2" max="2" width="34.7109375" bestFit="1" customWidth="1"/>
    <col min="3" max="3" width="15.7109375" customWidth="1"/>
    <col min="4" max="4" width="6.140625" customWidth="1"/>
    <col min="5" max="5" width="18" customWidth="1"/>
    <col min="6" max="6" width="6.140625" customWidth="1"/>
    <col min="7" max="7" width="28.140625" customWidth="1"/>
    <col min="8" max="11" width="10.5703125" customWidth="1"/>
    <col min="12" max="13" width="11.42578125" customWidth="1"/>
    <col min="14" max="14" width="10.42578125" customWidth="1"/>
  </cols>
  <sheetData>
    <row r="1" spans="1:15" x14ac:dyDescent="0.25">
      <c r="A1" s="16"/>
      <c r="B1" s="13" t="s">
        <v>133</v>
      </c>
      <c r="C1" s="16"/>
      <c r="E1" s="13" t="s">
        <v>139</v>
      </c>
      <c r="G1" s="21" t="s">
        <v>138</v>
      </c>
      <c r="H1" s="21"/>
      <c r="I1" s="21"/>
      <c r="J1" s="21"/>
      <c r="K1" s="21"/>
      <c r="L1" s="21"/>
      <c r="M1" s="21"/>
      <c r="N1" s="21"/>
      <c r="O1" s="21"/>
    </row>
    <row r="2" spans="1:15" x14ac:dyDescent="0.25">
      <c r="A2" t="s">
        <v>121</v>
      </c>
      <c r="B2" t="s">
        <v>140</v>
      </c>
      <c r="G2" s="14" t="s">
        <v>124</v>
      </c>
      <c r="H2" s="15" t="s">
        <v>125</v>
      </c>
      <c r="I2" s="15" t="s">
        <v>126</v>
      </c>
      <c r="J2" s="15" t="s">
        <v>127</v>
      </c>
      <c r="K2" s="15" t="s">
        <v>128</v>
      </c>
      <c r="L2" s="14" t="s">
        <v>129</v>
      </c>
      <c r="M2" s="14" t="s">
        <v>130</v>
      </c>
      <c r="N2" s="14" t="s">
        <v>131</v>
      </c>
    </row>
    <row r="3" spans="1:15" x14ac:dyDescent="0.25">
      <c r="A3" t="s">
        <v>134</v>
      </c>
      <c r="B3" t="s">
        <v>141</v>
      </c>
    </row>
    <row r="4" spans="1:15" x14ac:dyDescent="0.25">
      <c r="A4" t="s">
        <v>122</v>
      </c>
      <c r="B4" s="12">
        <v>44116</v>
      </c>
    </row>
    <row r="5" spans="1:15" x14ac:dyDescent="0.25">
      <c r="A5" t="s">
        <v>123</v>
      </c>
      <c r="B5" s="12">
        <v>44262</v>
      </c>
    </row>
    <row r="6" spans="1:15" x14ac:dyDescent="0.25">
      <c r="A6" t="s">
        <v>137</v>
      </c>
      <c r="B6" s="2">
        <v>450</v>
      </c>
    </row>
    <row r="7" spans="1:15" x14ac:dyDescent="0.25">
      <c r="B7" s="2"/>
    </row>
    <row r="9" spans="1:15" x14ac:dyDescent="0.25">
      <c r="A9" s="16"/>
      <c r="B9" s="13" t="s">
        <v>132</v>
      </c>
      <c r="C9" s="16"/>
    </row>
    <row r="10" spans="1:15" x14ac:dyDescent="0.25">
      <c r="A10" t="s">
        <v>135</v>
      </c>
    </row>
    <row r="12" spans="1:15" x14ac:dyDescent="0.25">
      <c r="A12" t="s">
        <v>136</v>
      </c>
    </row>
  </sheetData>
  <mergeCells count="1">
    <mergeCell ref="G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 macro="[0]!DeSelect_Instruments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defaultSize="0" autoFill="0" autoLine="0" autoPict="0">
                <anchor moveWithCells="1">
                  <from>
                    <xdr:col>4</xdr:col>
                    <xdr:colOff>0</xdr:colOff>
                    <xdr:row>4</xdr:row>
                    <xdr:rowOff>114300</xdr:rowOff>
                  </from>
                  <to>
                    <xdr:col>4</xdr:col>
                    <xdr:colOff>600075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142875</xdr:rowOff>
                  </from>
                  <to>
                    <xdr:col>4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171450</xdr:rowOff>
                  </from>
                  <to>
                    <xdr:col>4</xdr:col>
                    <xdr:colOff>600075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Check Box 5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9525</xdr:rowOff>
                  </from>
                  <to>
                    <xdr:col>4</xdr:col>
                    <xdr:colOff>600075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38100</xdr:rowOff>
                  </from>
                  <to>
                    <xdr:col>4</xdr:col>
                    <xdr:colOff>600075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Check Box 7">
              <controlPr defaultSize="0" autoFill="0" autoLine="0" autoPict="0">
                <anchor moveWithCells="1">
                  <from>
                    <xdr:col>4</xdr:col>
                    <xdr:colOff>0</xdr:colOff>
                    <xdr:row>10</xdr:row>
                    <xdr:rowOff>66675</xdr:rowOff>
                  </from>
                  <to>
                    <xdr:col>4</xdr:col>
                    <xdr:colOff>600075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Check Box 8">
              <controlPr defaultSize="0" autoFill="0" autoLine="0" autoPict="0">
                <anchor moveWithCells="1">
                  <from>
                    <xdr:col>4</xdr:col>
                    <xdr:colOff>0</xdr:colOff>
                    <xdr:row>11</xdr:row>
                    <xdr:rowOff>95250</xdr:rowOff>
                  </from>
                  <to>
                    <xdr:col>4</xdr:col>
                    <xdr:colOff>600075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Check Box 9">
              <controlPr defaultSize="0" autoFill="0" autoLine="0" autoPict="0">
                <anchor moveWithCells="1">
                  <from>
                    <xdr:col>4</xdr:col>
                    <xdr:colOff>0</xdr:colOff>
                    <xdr:row>12</xdr:row>
                    <xdr:rowOff>123825</xdr:rowOff>
                  </from>
                  <to>
                    <xdr:col>4</xdr:col>
                    <xdr:colOff>600075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Check Box 10">
              <controlPr defaultSize="0" autoFill="0" autoLine="0" autoPict="0">
                <anchor moveWithCells="1">
                  <from>
                    <xdr:col>4</xdr:col>
                    <xdr:colOff>0</xdr:colOff>
                    <xdr:row>13</xdr:row>
                    <xdr:rowOff>152400</xdr:rowOff>
                  </from>
                  <to>
                    <xdr:col>4</xdr:col>
                    <xdr:colOff>600075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Check Box 11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180975</xdr:rowOff>
                  </from>
                  <to>
                    <xdr:col>4</xdr:col>
                    <xdr:colOff>600075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Check Box 12">
              <controlPr defaultSize="0" autoFill="0" autoLine="0" autoPict="0">
                <anchor moveWithCells="1">
                  <from>
                    <xdr:col>4</xdr:col>
                    <xdr:colOff>0</xdr:colOff>
                    <xdr:row>16</xdr:row>
                    <xdr:rowOff>19050</xdr:rowOff>
                  </from>
                  <to>
                    <xdr:col>4</xdr:col>
                    <xdr:colOff>600075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Check Box 13">
              <controlPr defaultSize="0" autoFill="0" autoLine="0" autoPict="0">
                <anchor moveWithCells="1">
                  <from>
                    <xdr:col>4</xdr:col>
                    <xdr:colOff>0</xdr:colOff>
                    <xdr:row>17</xdr:row>
                    <xdr:rowOff>47625</xdr:rowOff>
                  </from>
                  <to>
                    <xdr:col>4</xdr:col>
                    <xdr:colOff>600075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Check Box 14">
              <controlPr defaultSize="0" autoFill="0" autoLine="0" autoPict="0">
                <anchor moveWithCells="1">
                  <from>
                    <xdr:col>4</xdr:col>
                    <xdr:colOff>0</xdr:colOff>
                    <xdr:row>18</xdr:row>
                    <xdr:rowOff>76200</xdr:rowOff>
                  </from>
                  <to>
                    <xdr:col>4</xdr:col>
                    <xdr:colOff>600075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Check Box 15">
              <controlPr defaultSize="0" autoFill="0" autoLine="0" autoPict="0">
                <anchor moveWithCells="1">
                  <from>
                    <xdr:col>4</xdr:col>
                    <xdr:colOff>0</xdr:colOff>
                    <xdr:row>19</xdr:row>
                    <xdr:rowOff>104775</xdr:rowOff>
                  </from>
                  <to>
                    <xdr:col>4</xdr:col>
                    <xdr:colOff>600075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Check Box 16">
              <controlPr defaultSize="0" autoFill="0" autoLine="0" autoPict="0">
                <anchor moveWithCells="1">
                  <from>
                    <xdr:col>4</xdr:col>
                    <xdr:colOff>0</xdr:colOff>
                    <xdr:row>20</xdr:row>
                    <xdr:rowOff>133350</xdr:rowOff>
                  </from>
                  <to>
                    <xdr:col>4</xdr:col>
                    <xdr:colOff>600075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Check Box 17">
              <controlPr defaultSize="0" autoFill="0" autoLine="0" autoPict="0">
                <anchor moveWithCells="1">
                  <from>
                    <xdr:col>4</xdr:col>
                    <xdr:colOff>600075</xdr:colOff>
                    <xdr:row>4</xdr:row>
                    <xdr:rowOff>114300</xdr:rowOff>
                  </from>
                  <to>
                    <xdr:col>5</xdr:col>
                    <xdr:colOff>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Check Box 18">
              <controlPr defaultSize="0" autoFill="0" autoLine="0" autoPict="0">
                <anchor moveWithCells="1">
                  <from>
                    <xdr:col>4</xdr:col>
                    <xdr:colOff>600075</xdr:colOff>
                    <xdr:row>5</xdr:row>
                    <xdr:rowOff>142875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Check Box 19">
              <controlPr defaultSize="0" autoFill="0" autoLine="0" autoPict="0">
                <anchor moveWithCells="1">
                  <from>
                    <xdr:col>4</xdr:col>
                    <xdr:colOff>600075</xdr:colOff>
                    <xdr:row>6</xdr:row>
                    <xdr:rowOff>171450</xdr:rowOff>
                  </from>
                  <to>
                    <xdr:col>5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Check Box 20">
              <controlPr defaultSize="0" autoFill="0" autoLine="0" autoPict="0">
                <anchor moveWithCells="1">
                  <from>
                    <xdr:col>4</xdr:col>
                    <xdr:colOff>600075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Check Box 21">
              <controlPr defaultSize="0" autoFill="0" autoLine="0" autoPict="0">
                <anchor moveWithCells="1">
                  <from>
                    <xdr:col>4</xdr:col>
                    <xdr:colOff>600075</xdr:colOff>
                    <xdr:row>9</xdr:row>
                    <xdr:rowOff>38100</xdr:rowOff>
                  </from>
                  <to>
                    <xdr:col>5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Check Box 22">
              <controlPr defaultSize="0" autoFill="0" autoLine="0" autoPict="0">
                <anchor moveWithCells="1">
                  <from>
                    <xdr:col>4</xdr:col>
                    <xdr:colOff>600075</xdr:colOff>
                    <xdr:row>10</xdr:row>
                    <xdr:rowOff>66675</xdr:rowOff>
                  </from>
                  <to>
                    <xdr:col>5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Check Box 23">
              <controlPr defaultSize="0" autoFill="0" autoLine="0" autoPict="0">
                <anchor moveWithCells="1">
                  <from>
                    <xdr:col>4</xdr:col>
                    <xdr:colOff>600075</xdr:colOff>
                    <xdr:row>11</xdr:row>
                    <xdr:rowOff>95250</xdr:rowOff>
                  </from>
                  <to>
                    <xdr:col>5</xdr:col>
                    <xdr:colOff>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Check Box 24">
              <controlPr defaultSize="0" autoFill="0" autoLine="0" autoPict="0">
                <anchor moveWithCells="1">
                  <from>
                    <xdr:col>4</xdr:col>
                    <xdr:colOff>600075</xdr:colOff>
                    <xdr:row>12</xdr:row>
                    <xdr:rowOff>123825</xdr:rowOff>
                  </from>
                  <to>
                    <xdr:col>5</xdr:col>
                    <xdr:colOff>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Check Box 25">
              <controlPr defaultSize="0" autoFill="0" autoLine="0" autoPict="0">
                <anchor moveWithCells="1">
                  <from>
                    <xdr:col>4</xdr:col>
                    <xdr:colOff>600075</xdr:colOff>
                    <xdr:row>13</xdr:row>
                    <xdr:rowOff>152400</xdr:rowOff>
                  </from>
                  <to>
                    <xdr:col>5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Check Box 26">
              <controlPr defaultSize="0" autoFill="0" autoLine="0" autoPict="0">
                <anchor moveWithCells="1">
                  <from>
                    <xdr:col>4</xdr:col>
                    <xdr:colOff>600075</xdr:colOff>
                    <xdr:row>14</xdr:row>
                    <xdr:rowOff>180975</xdr:rowOff>
                  </from>
                  <to>
                    <xdr:col>5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Check Box 27">
              <controlPr defaultSize="0" autoFill="0" autoLine="0" autoPict="0">
                <anchor moveWithCells="1">
                  <from>
                    <xdr:col>4</xdr:col>
                    <xdr:colOff>600075</xdr:colOff>
                    <xdr:row>16</xdr:row>
                    <xdr:rowOff>19050</xdr:rowOff>
                  </from>
                  <to>
                    <xdr:col>5</xdr:col>
                    <xdr:colOff>0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Check Box 28">
              <controlPr defaultSize="0" autoFill="0" autoLine="0" autoPict="0">
                <anchor moveWithCells="1">
                  <from>
                    <xdr:col>4</xdr:col>
                    <xdr:colOff>600075</xdr:colOff>
                    <xdr:row>17</xdr:row>
                    <xdr:rowOff>47625</xdr:rowOff>
                  </from>
                  <to>
                    <xdr:col>5</xdr:col>
                    <xdr:colOff>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Check Box 29">
              <controlPr defaultSize="0" autoFill="0" autoLine="0" autoPict="0">
                <anchor moveWithCells="1">
                  <from>
                    <xdr:col>4</xdr:col>
                    <xdr:colOff>600075</xdr:colOff>
                    <xdr:row>18</xdr:row>
                    <xdr:rowOff>76200</xdr:rowOff>
                  </from>
                  <to>
                    <xdr:col>5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Check Box 30">
              <controlPr defaultSize="0" autoFill="0" autoLine="0" autoPict="0">
                <anchor moveWithCells="1">
                  <from>
                    <xdr:col>4</xdr:col>
                    <xdr:colOff>600075</xdr:colOff>
                    <xdr:row>19</xdr:row>
                    <xdr:rowOff>104775</xdr:rowOff>
                  </from>
                  <to>
                    <xdr:col>5</xdr:col>
                    <xdr:colOff>0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Check Box 31">
              <controlPr defaultSize="0" autoFill="0" autoLine="0" autoPict="0">
                <anchor moveWithCells="1">
                  <from>
                    <xdr:col>4</xdr:col>
                    <xdr:colOff>600075</xdr:colOff>
                    <xdr:row>20</xdr:row>
                    <xdr:rowOff>133350</xdr:rowOff>
                  </from>
                  <to>
                    <xdr:col>5</xdr:col>
                    <xdr:colOff>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Button 32">
              <controlPr defaultSize="0" print="0" autoFill="0" autoPict="0" macro="[0]!LocateParentDirectory">
                <anchor moveWithCells="1" sizeWithCells="1">
                  <from>
                    <xdr:col>2</xdr:col>
                    <xdr:colOff>0</xdr:colOff>
                    <xdr:row>1</xdr:row>
                    <xdr:rowOff>9525</xdr:rowOff>
                  </from>
                  <to>
                    <xdr:col>3</xdr:col>
                    <xdr:colOff>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Button 33">
              <controlPr defaultSize="0" print="0" autoFill="0" autoPict="0" macro="[0]!ProcessHTML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Button 34">
              <controlPr defaultSize="0" print="0" autoFill="0" autoPict="0">
                <anchor moveWithCells="1" sizeWithCells="1">
                  <from>
                    <xdr:col>14</xdr:col>
                    <xdr:colOff>9525</xdr:colOff>
                    <xdr:row>1</xdr:row>
                    <xdr:rowOff>9525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Button 35">
              <controlPr defaultSize="0" print="0" autoFill="0" autoPict="0" macro="[0]!Кнопка35_Щелчок">
                <anchor moveWithCells="1" sizeWithCells="1">
                  <from>
                    <xdr:col>2</xdr:col>
                    <xdr:colOff>0</xdr:colOff>
                    <xdr:row>9</xdr:row>
                    <xdr:rowOff>9525</xdr:rowOff>
                  </from>
                  <to>
                    <xdr:col>3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Button 36">
              <controlPr defaultSize="0" print="0" autoFill="0" autoPict="0" macro="[0]!Кнопка36_Щелчок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Button 37">
              <controlPr defaultSize="0" print="0" autoFill="0" autoPict="0" macro="[0]!Кнопка37_Щелчок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Button 38">
              <controlPr defaultSize="0" print="0" autoFill="0" autoPict="0" macro="[0]!CreateCommandBars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4</xdr:col>
                    <xdr:colOff>590550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Button 39">
              <controlPr defaultSize="0" print="0" autoFill="0" autoPict="0" macro="[0]!RemoveCommandBars">
                <anchor moveWithCells="1" sizeWithCells="1">
                  <from>
                    <xdr:col>4</xdr:col>
                    <xdr:colOff>600075</xdr:colOff>
                    <xdr:row>1</xdr:row>
                    <xdr:rowOff>9525</xdr:rowOff>
                  </from>
                  <to>
                    <xdr:col>5</xdr:col>
                    <xdr:colOff>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0"/>
  <dimension ref="A1:J31"/>
  <sheetViews>
    <sheetView workbookViewId="0">
      <selection activeCell="C19" sqref="C19"/>
    </sheetView>
  </sheetViews>
  <sheetFormatPr defaultRowHeight="15" x14ac:dyDescent="0.25"/>
  <cols>
    <col min="1" max="1" width="13.5703125" bestFit="1" customWidth="1"/>
    <col min="3" max="3" width="10.7109375" bestFit="1" customWidth="1"/>
    <col min="7" max="7" width="25.7109375" bestFit="1" customWidth="1"/>
  </cols>
  <sheetData>
    <row r="1" spans="1:10" x14ac:dyDescent="0.25">
      <c r="A1" t="s">
        <v>6</v>
      </c>
      <c r="B1" t="b">
        <v>0</v>
      </c>
      <c r="D1" t="s">
        <v>7</v>
      </c>
      <c r="G1" t="s">
        <v>72</v>
      </c>
      <c r="H1">
        <v>2</v>
      </c>
      <c r="I1" t="s">
        <v>82</v>
      </c>
      <c r="J1" t="s">
        <v>83</v>
      </c>
    </row>
    <row r="2" spans="1:10" x14ac:dyDescent="0.25">
      <c r="A2" t="s">
        <v>8</v>
      </c>
      <c r="B2" t="b">
        <v>1</v>
      </c>
      <c r="D2" t="s">
        <v>9</v>
      </c>
      <c r="E2" t="s">
        <v>10</v>
      </c>
      <c r="G2" s="4" t="s">
        <v>81</v>
      </c>
      <c r="H2" t="b">
        <v>0</v>
      </c>
    </row>
    <row r="3" spans="1:10" x14ac:dyDescent="0.25">
      <c r="A3" t="s">
        <v>11</v>
      </c>
      <c r="B3" t="b">
        <v>1</v>
      </c>
      <c r="D3" t="s">
        <v>12</v>
      </c>
      <c r="E3" t="s">
        <v>10</v>
      </c>
      <c r="G3" t="s">
        <v>73</v>
      </c>
      <c r="H3" t="b">
        <v>1</v>
      </c>
      <c r="I3" t="b">
        <f>IF($H$1=2,TRUE, FALSE)</f>
        <v>1</v>
      </c>
      <c r="J3" t="b">
        <f>IF($H$1=3,TRUE, FALSE)</f>
        <v>0</v>
      </c>
    </row>
    <row r="4" spans="1:10" x14ac:dyDescent="0.25">
      <c r="A4" t="s">
        <v>13</v>
      </c>
      <c r="B4" t="b">
        <v>0</v>
      </c>
      <c r="D4" t="s">
        <v>14</v>
      </c>
      <c r="E4" t="s">
        <v>10</v>
      </c>
      <c r="G4" t="s">
        <v>74</v>
      </c>
      <c r="H4" t="b">
        <v>1</v>
      </c>
      <c r="I4" t="b">
        <f>IF($H$1=4,TRUE, FALSE)</f>
        <v>0</v>
      </c>
      <c r="J4" t="b">
        <f>IF($H$1=5,TRUE, FALSE)</f>
        <v>0</v>
      </c>
    </row>
    <row r="5" spans="1:10" x14ac:dyDescent="0.25">
      <c r="A5" t="s">
        <v>15</v>
      </c>
      <c r="B5" t="b">
        <v>0</v>
      </c>
      <c r="D5" t="s">
        <v>16</v>
      </c>
      <c r="E5" t="s">
        <v>17</v>
      </c>
      <c r="G5" t="s">
        <v>79</v>
      </c>
      <c r="H5" t="b">
        <v>0</v>
      </c>
      <c r="I5" t="b">
        <f>IF($H$1=6,TRUE, FALSE)</f>
        <v>0</v>
      </c>
      <c r="J5" t="b">
        <f>IF($H$1=7,TRUE, FALSE)</f>
        <v>0</v>
      </c>
    </row>
    <row r="6" spans="1:10" x14ac:dyDescent="0.25">
      <c r="A6" t="s">
        <v>18</v>
      </c>
      <c r="B6" t="b">
        <v>0</v>
      </c>
      <c r="D6" t="s">
        <v>19</v>
      </c>
      <c r="E6" t="s">
        <v>20</v>
      </c>
      <c r="G6" t="s">
        <v>78</v>
      </c>
      <c r="H6" t="b">
        <v>0</v>
      </c>
      <c r="I6" t="b">
        <f>IF($H$1=8,TRUE, FALSE)</f>
        <v>0</v>
      </c>
      <c r="J6" t="b">
        <f>IF($H$1=9,TRUE, FALSE)</f>
        <v>0</v>
      </c>
    </row>
    <row r="7" spans="1:10" x14ac:dyDescent="0.25">
      <c r="A7" t="s">
        <v>21</v>
      </c>
      <c r="B7" t="b">
        <v>0</v>
      </c>
      <c r="D7" t="s">
        <v>22</v>
      </c>
      <c r="E7" t="s">
        <v>10</v>
      </c>
      <c r="G7" t="s">
        <v>75</v>
      </c>
      <c r="H7" t="b">
        <v>1</v>
      </c>
      <c r="I7" t="b">
        <f>IF($H$1=10,TRUE, FALSE)</f>
        <v>0</v>
      </c>
      <c r="J7" t="b">
        <f>IF($H$1=11,TRUE, FALSE)</f>
        <v>0</v>
      </c>
    </row>
    <row r="8" spans="1:10" x14ac:dyDescent="0.25">
      <c r="A8" t="s">
        <v>23</v>
      </c>
      <c r="B8" t="b">
        <v>0</v>
      </c>
      <c r="D8" t="s">
        <v>24</v>
      </c>
      <c r="E8" t="s">
        <v>10</v>
      </c>
      <c r="G8" t="s">
        <v>76</v>
      </c>
      <c r="H8" t="b">
        <v>0</v>
      </c>
      <c r="I8" t="b">
        <f>IF($H$1=12,TRUE, FALSE)</f>
        <v>0</v>
      </c>
      <c r="J8" t="b">
        <f>IF($H$1=13,TRUE, FALSE)</f>
        <v>0</v>
      </c>
    </row>
    <row r="9" spans="1:10" x14ac:dyDescent="0.25">
      <c r="A9" t="s">
        <v>25</v>
      </c>
      <c r="B9" t="b">
        <v>0</v>
      </c>
      <c r="D9" t="s">
        <v>26</v>
      </c>
      <c r="E9" t="s">
        <v>10</v>
      </c>
      <c r="G9" t="s">
        <v>80</v>
      </c>
      <c r="H9" t="b">
        <v>0</v>
      </c>
      <c r="I9" t="b">
        <f>IF($H$1=14,TRUE, FALSE)</f>
        <v>0</v>
      </c>
      <c r="J9" t="b">
        <f>IF($H$1=15,TRUE, FALSE)</f>
        <v>0</v>
      </c>
    </row>
    <row r="10" spans="1:10" x14ac:dyDescent="0.25">
      <c r="A10" t="s">
        <v>27</v>
      </c>
      <c r="B10" t="b">
        <v>0</v>
      </c>
      <c r="D10" t="s">
        <v>28</v>
      </c>
      <c r="E10" t="s">
        <v>17</v>
      </c>
      <c r="G10" t="s">
        <v>77</v>
      </c>
      <c r="H10" t="b">
        <v>0</v>
      </c>
      <c r="I10" t="b">
        <f>IF($H$1=16,TRUE, FALSE)</f>
        <v>0</v>
      </c>
      <c r="J10" t="b">
        <f>IF($H$1=17,TRUE, FALSE)</f>
        <v>0</v>
      </c>
    </row>
    <row r="11" spans="1:10" x14ac:dyDescent="0.25">
      <c r="A11" t="s">
        <v>29</v>
      </c>
      <c r="B11" t="b">
        <v>0</v>
      </c>
      <c r="D11" t="s">
        <v>30</v>
      </c>
      <c r="E11" t="s">
        <v>10</v>
      </c>
      <c r="G11" t="s">
        <v>92</v>
      </c>
      <c r="H11" t="b">
        <v>0</v>
      </c>
      <c r="I11" t="b">
        <f>IF($H$1=18,TRUE, FALSE)</f>
        <v>0</v>
      </c>
      <c r="J11" t="b">
        <f>IF($H$1=19,TRUE, FALSE)</f>
        <v>0</v>
      </c>
    </row>
    <row r="12" spans="1:10" x14ac:dyDescent="0.25">
      <c r="A12" t="s">
        <v>31</v>
      </c>
      <c r="B12" t="b">
        <v>0</v>
      </c>
      <c r="D12" t="s">
        <v>32</v>
      </c>
      <c r="E12" t="s">
        <v>10</v>
      </c>
      <c r="G12" t="s">
        <v>93</v>
      </c>
      <c r="H12" t="b">
        <v>0</v>
      </c>
      <c r="I12" t="b">
        <f>IF($H$1=20,TRUE, FALSE)</f>
        <v>0</v>
      </c>
      <c r="J12" t="b">
        <f>IF($H$1=21,TRUE, FALSE)</f>
        <v>0</v>
      </c>
    </row>
    <row r="13" spans="1:10" x14ac:dyDescent="0.25">
      <c r="A13" t="s">
        <v>33</v>
      </c>
      <c r="B13" t="b">
        <v>0</v>
      </c>
      <c r="D13" t="s">
        <v>34</v>
      </c>
      <c r="E13" t="s">
        <v>17</v>
      </c>
    </row>
    <row r="14" spans="1:10" x14ac:dyDescent="0.25">
      <c r="A14" t="s">
        <v>35</v>
      </c>
      <c r="B14" t="b">
        <v>0</v>
      </c>
      <c r="D14" t="s">
        <v>36</v>
      </c>
      <c r="E14" t="s">
        <v>10</v>
      </c>
    </row>
    <row r="15" spans="1:10" x14ac:dyDescent="0.25">
      <c r="A15" t="s">
        <v>37</v>
      </c>
      <c r="B15" t="b">
        <v>0</v>
      </c>
      <c r="D15" t="s">
        <v>38</v>
      </c>
      <c r="E15" t="s">
        <v>17</v>
      </c>
    </row>
    <row r="16" spans="1:10" x14ac:dyDescent="0.25">
      <c r="A16" t="s">
        <v>39</v>
      </c>
      <c r="B16" t="b">
        <v>0</v>
      </c>
      <c r="D16" t="s">
        <v>40</v>
      </c>
      <c r="E16" t="s">
        <v>20</v>
      </c>
    </row>
    <row r="17" spans="1:8" x14ac:dyDescent="0.25">
      <c r="A17" t="s">
        <v>41</v>
      </c>
      <c r="B17" t="b">
        <v>0</v>
      </c>
      <c r="D17" t="s">
        <v>42</v>
      </c>
      <c r="E17" t="s">
        <v>17</v>
      </c>
    </row>
    <row r="18" spans="1:8" x14ac:dyDescent="0.25">
      <c r="A18" t="s">
        <v>43</v>
      </c>
      <c r="B18" t="b">
        <v>0</v>
      </c>
      <c r="D18" t="s">
        <v>44</v>
      </c>
      <c r="E18" t="s">
        <v>10</v>
      </c>
      <c r="G18" t="s">
        <v>90</v>
      </c>
      <c r="H18">
        <v>2</v>
      </c>
    </row>
    <row r="19" spans="1:8" x14ac:dyDescent="0.25">
      <c r="A19" t="s">
        <v>45</v>
      </c>
      <c r="B19" t="b">
        <v>0</v>
      </c>
      <c r="D19" t="s">
        <v>46</v>
      </c>
      <c r="E19" t="s">
        <v>10</v>
      </c>
    </row>
    <row r="20" spans="1:8" x14ac:dyDescent="0.25">
      <c r="A20" t="s">
        <v>47</v>
      </c>
      <c r="B20" t="b">
        <v>0</v>
      </c>
      <c r="D20" t="s">
        <v>48</v>
      </c>
      <c r="E20" t="s">
        <v>10</v>
      </c>
    </row>
    <row r="21" spans="1:8" x14ac:dyDescent="0.25">
      <c r="A21" t="s">
        <v>49</v>
      </c>
      <c r="B21" t="b">
        <v>0</v>
      </c>
      <c r="D21" t="s">
        <v>50</v>
      </c>
      <c r="E21" t="s">
        <v>17</v>
      </c>
    </row>
    <row r="22" spans="1:8" x14ac:dyDescent="0.25">
      <c r="A22" t="s">
        <v>51</v>
      </c>
      <c r="B22" t="b">
        <v>0</v>
      </c>
      <c r="D22" t="s">
        <v>52</v>
      </c>
      <c r="E22" t="s">
        <v>20</v>
      </c>
    </row>
    <row r="23" spans="1:8" x14ac:dyDescent="0.25">
      <c r="A23" t="s">
        <v>53</v>
      </c>
      <c r="B23" t="b">
        <v>0</v>
      </c>
      <c r="D23" t="s">
        <v>54</v>
      </c>
      <c r="E23" t="s">
        <v>10</v>
      </c>
    </row>
    <row r="24" spans="1:8" x14ac:dyDescent="0.25">
      <c r="A24" t="s">
        <v>55</v>
      </c>
      <c r="B24" t="b">
        <v>0</v>
      </c>
      <c r="D24" t="s">
        <v>56</v>
      </c>
      <c r="E24" t="s">
        <v>10</v>
      </c>
    </row>
    <row r="25" spans="1:8" x14ac:dyDescent="0.25">
      <c r="A25" t="s">
        <v>57</v>
      </c>
      <c r="B25" t="b">
        <v>0</v>
      </c>
      <c r="D25" t="s">
        <v>58</v>
      </c>
      <c r="E25" t="s">
        <v>10</v>
      </c>
    </row>
    <row r="26" spans="1:8" x14ac:dyDescent="0.25">
      <c r="A26" t="s">
        <v>59</v>
      </c>
      <c r="B26" t="b">
        <v>0</v>
      </c>
      <c r="D26" t="s">
        <v>60</v>
      </c>
      <c r="E26" t="s">
        <v>20</v>
      </c>
    </row>
    <row r="27" spans="1:8" x14ac:dyDescent="0.25">
      <c r="A27" t="s">
        <v>61</v>
      </c>
      <c r="B27" t="b">
        <v>0</v>
      </c>
      <c r="D27" t="s">
        <v>62</v>
      </c>
      <c r="E27" t="s">
        <v>63</v>
      </c>
    </row>
    <row r="28" spans="1:8" x14ac:dyDescent="0.25">
      <c r="A28" t="s">
        <v>64</v>
      </c>
      <c r="B28" t="b">
        <v>0</v>
      </c>
      <c r="D28" t="s">
        <v>65</v>
      </c>
      <c r="E28" t="s">
        <v>63</v>
      </c>
    </row>
    <row r="29" spans="1:8" x14ac:dyDescent="0.25">
      <c r="A29" t="s">
        <v>66</v>
      </c>
      <c r="B29" t="b">
        <v>0</v>
      </c>
      <c r="D29" t="s">
        <v>67</v>
      </c>
      <c r="E29" t="s">
        <v>63</v>
      </c>
    </row>
    <row r="30" spans="1:8" x14ac:dyDescent="0.25">
      <c r="A30" t="s">
        <v>68</v>
      </c>
      <c r="B30" t="b">
        <v>0</v>
      </c>
      <c r="D30" t="s">
        <v>69</v>
      </c>
      <c r="E30" t="s">
        <v>20</v>
      </c>
    </row>
    <row r="31" spans="1:8" x14ac:dyDescent="0.25">
      <c r="A31" t="s">
        <v>70</v>
      </c>
      <c r="B31" t="b">
        <v>0</v>
      </c>
      <c r="D31" t="s">
        <v>71</v>
      </c>
      <c r="E31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H7" sqref="H7"/>
    </sheetView>
  </sheetViews>
  <sheetFormatPr defaultRowHeight="15" x14ac:dyDescent="0.25"/>
  <sheetData/>
  <sortState xmlns:xlrd2="http://schemas.microsoft.com/office/spreadsheetml/2017/richdata2" ref="A2:D1381">
    <sortCondition ref="B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T58"/>
  <sheetViews>
    <sheetView topLeftCell="A4" workbookViewId="0">
      <selection activeCell="E49" sqref="E49"/>
    </sheetView>
  </sheetViews>
  <sheetFormatPr defaultRowHeight="15" x14ac:dyDescent="0.25"/>
  <sheetData>
    <row r="1" spans="1:17" x14ac:dyDescent="0.25">
      <c r="A1" t="s">
        <v>111</v>
      </c>
      <c r="B1" t="s">
        <v>112</v>
      </c>
      <c r="D1" t="s">
        <v>111</v>
      </c>
      <c r="F1" t="s">
        <v>74</v>
      </c>
      <c r="I1" t="s">
        <v>111</v>
      </c>
      <c r="K1" t="s">
        <v>74</v>
      </c>
      <c r="N1" t="s">
        <v>111</v>
      </c>
      <c r="P1" t="s">
        <v>74</v>
      </c>
    </row>
    <row r="2" spans="1:17" x14ac:dyDescent="0.25">
      <c r="A2" s="10" t="s">
        <v>4</v>
      </c>
      <c r="B2" s="10" t="s">
        <v>5</v>
      </c>
      <c r="D2" s="10" t="s">
        <v>4</v>
      </c>
      <c r="E2" s="10" t="s">
        <v>5</v>
      </c>
      <c r="F2" s="10" t="s">
        <v>4</v>
      </c>
      <c r="G2" s="10" t="s">
        <v>5</v>
      </c>
      <c r="I2" s="10" t="s">
        <v>4</v>
      </c>
      <c r="J2" s="10" t="s">
        <v>5</v>
      </c>
      <c r="K2" s="10" t="s">
        <v>4</v>
      </c>
      <c r="L2" s="10" t="s">
        <v>5</v>
      </c>
      <c r="N2" s="10" t="s">
        <v>4</v>
      </c>
      <c r="O2" s="10" t="s">
        <v>5</v>
      </c>
      <c r="P2" s="10" t="s">
        <v>4</v>
      </c>
      <c r="Q2" s="10" t="s">
        <v>5</v>
      </c>
    </row>
    <row r="3" spans="1:17" x14ac:dyDescent="0.25">
      <c r="A3">
        <v>0</v>
      </c>
      <c r="B3">
        <v>1000</v>
      </c>
      <c r="D3">
        <v>0</v>
      </c>
      <c r="E3">
        <v>1000</v>
      </c>
      <c r="F3">
        <v>0</v>
      </c>
      <c r="G3">
        <v>1000</v>
      </c>
      <c r="I3">
        <v>0</v>
      </c>
      <c r="J3">
        <v>1000</v>
      </c>
      <c r="K3">
        <v>0</v>
      </c>
      <c r="L3">
        <v>1000</v>
      </c>
      <c r="N3">
        <v>0</v>
      </c>
      <c r="O3">
        <v>0.1</v>
      </c>
      <c r="P3">
        <v>0</v>
      </c>
      <c r="Q3">
        <v>0.25</v>
      </c>
    </row>
    <row r="4" spans="1:17" x14ac:dyDescent="0.25">
      <c r="A4">
        <v>0</v>
      </c>
      <c r="B4">
        <v>0.1</v>
      </c>
      <c r="D4">
        <v>0</v>
      </c>
      <c r="E4">
        <v>0.1</v>
      </c>
      <c r="F4">
        <v>0.6</v>
      </c>
      <c r="G4">
        <v>0.7</v>
      </c>
      <c r="I4">
        <v>0</v>
      </c>
      <c r="J4">
        <v>1000</v>
      </c>
      <c r="K4">
        <v>0.6</v>
      </c>
      <c r="L4">
        <v>1000</v>
      </c>
      <c r="N4">
        <v>0</v>
      </c>
      <c r="O4">
        <v>0.3</v>
      </c>
      <c r="P4">
        <v>0</v>
      </c>
      <c r="Q4">
        <v>0.5</v>
      </c>
    </row>
    <row r="5" spans="1:17" x14ac:dyDescent="0.25">
      <c r="A5">
        <v>0.1</v>
      </c>
      <c r="B5">
        <v>0.3</v>
      </c>
      <c r="D5">
        <v>0.1</v>
      </c>
      <c r="E5">
        <v>0.3</v>
      </c>
      <c r="F5">
        <v>0.7</v>
      </c>
      <c r="G5">
        <v>0.8</v>
      </c>
      <c r="I5">
        <v>0.1</v>
      </c>
      <c r="J5">
        <v>1000</v>
      </c>
      <c r="K5">
        <v>0.7</v>
      </c>
      <c r="L5">
        <v>1000</v>
      </c>
      <c r="N5">
        <v>0</v>
      </c>
      <c r="O5">
        <v>0.5</v>
      </c>
      <c r="P5">
        <v>0</v>
      </c>
      <c r="Q5">
        <v>0.7</v>
      </c>
    </row>
    <row r="6" spans="1:17" x14ac:dyDescent="0.25">
      <c r="A6">
        <v>0.3</v>
      </c>
      <c r="B6">
        <v>0.5</v>
      </c>
      <c r="D6">
        <v>0.3</v>
      </c>
      <c r="E6">
        <v>0.5</v>
      </c>
      <c r="F6">
        <v>0.8</v>
      </c>
      <c r="G6">
        <v>0.9</v>
      </c>
      <c r="I6">
        <v>0.3</v>
      </c>
      <c r="J6">
        <v>1000</v>
      </c>
      <c r="K6">
        <v>0.8</v>
      </c>
      <c r="L6">
        <v>1000</v>
      </c>
      <c r="N6">
        <v>0</v>
      </c>
      <c r="O6">
        <v>0.7</v>
      </c>
      <c r="P6">
        <v>0</v>
      </c>
      <c r="Q6">
        <v>0.9</v>
      </c>
    </row>
    <row r="7" spans="1:17" x14ac:dyDescent="0.25">
      <c r="A7">
        <v>0.5</v>
      </c>
      <c r="B7">
        <v>0.7</v>
      </c>
      <c r="D7">
        <v>0.5</v>
      </c>
      <c r="E7">
        <v>0.7</v>
      </c>
      <c r="F7">
        <v>0.9</v>
      </c>
      <c r="G7">
        <v>1000</v>
      </c>
      <c r="I7">
        <v>0.5</v>
      </c>
      <c r="J7">
        <v>1000</v>
      </c>
      <c r="K7">
        <v>0.9</v>
      </c>
      <c r="L7">
        <v>1000</v>
      </c>
      <c r="N7">
        <v>0</v>
      </c>
      <c r="O7">
        <v>0.9</v>
      </c>
      <c r="P7">
        <v>0</v>
      </c>
      <c r="Q7">
        <v>1000</v>
      </c>
    </row>
    <row r="8" spans="1:17" x14ac:dyDescent="0.25">
      <c r="A8">
        <v>0.7</v>
      </c>
      <c r="B8">
        <v>1000</v>
      </c>
      <c r="D8">
        <v>0.7</v>
      </c>
      <c r="E8">
        <v>1000</v>
      </c>
      <c r="I8">
        <v>0.7</v>
      </c>
      <c r="J8">
        <v>1000</v>
      </c>
      <c r="N8">
        <v>0</v>
      </c>
      <c r="O8">
        <v>1000</v>
      </c>
    </row>
    <row r="10" spans="1:17" x14ac:dyDescent="0.25">
      <c r="D10" t="s">
        <v>113</v>
      </c>
      <c r="I10" t="s">
        <v>114</v>
      </c>
      <c r="N10" t="s">
        <v>115</v>
      </c>
    </row>
    <row r="13" spans="1:17" x14ac:dyDescent="0.25">
      <c r="D13" t="s">
        <v>116</v>
      </c>
    </row>
    <row r="14" spans="1:17" x14ac:dyDescent="0.25">
      <c r="D14" s="10" t="s">
        <v>4</v>
      </c>
      <c r="E14" s="10" t="s">
        <v>5</v>
      </c>
    </row>
    <row r="15" spans="1:17" x14ac:dyDescent="0.25">
      <c r="D15">
        <v>0</v>
      </c>
      <c r="E15">
        <v>1000</v>
      </c>
    </row>
    <row r="16" spans="1:17" x14ac:dyDescent="0.25">
      <c r="D16">
        <v>0.5</v>
      </c>
      <c r="E16">
        <v>1000</v>
      </c>
    </row>
    <row r="17" spans="1:16" x14ac:dyDescent="0.25">
      <c r="D17">
        <v>2</v>
      </c>
      <c r="E17">
        <v>1000</v>
      </c>
      <c r="I17">
        <v>416</v>
      </c>
      <c r="J17">
        <v>156</v>
      </c>
      <c r="K17" t="s">
        <v>94</v>
      </c>
    </row>
    <row r="18" spans="1:16" x14ac:dyDescent="0.25">
      <c r="D18">
        <v>5</v>
      </c>
      <c r="E18">
        <v>1000</v>
      </c>
      <c r="I18">
        <v>416</v>
      </c>
      <c r="J18">
        <v>104</v>
      </c>
      <c r="K18" t="s">
        <v>96</v>
      </c>
    </row>
    <row r="19" spans="1:16" x14ac:dyDescent="0.25">
      <c r="D19">
        <v>10</v>
      </c>
      <c r="E19">
        <v>1000</v>
      </c>
      <c r="I19">
        <v>416</v>
      </c>
      <c r="J19">
        <v>52</v>
      </c>
      <c r="K19" t="s">
        <v>95</v>
      </c>
    </row>
    <row r="20" spans="1:16" x14ac:dyDescent="0.25">
      <c r="D20">
        <v>0</v>
      </c>
      <c r="E20">
        <v>0.5</v>
      </c>
      <c r="I20">
        <v>364</v>
      </c>
      <c r="J20">
        <v>208</v>
      </c>
      <c r="K20" t="s">
        <v>97</v>
      </c>
      <c r="N20">
        <v>364</v>
      </c>
      <c r="O20">
        <v>208</v>
      </c>
      <c r="P20" t="s">
        <v>97</v>
      </c>
    </row>
    <row r="21" spans="1:16" x14ac:dyDescent="0.25">
      <c r="D21">
        <v>0</v>
      </c>
      <c r="E21">
        <v>2</v>
      </c>
      <c r="I21">
        <v>364</v>
      </c>
      <c r="J21">
        <v>156</v>
      </c>
      <c r="K21" t="s">
        <v>103</v>
      </c>
      <c r="N21">
        <v>364</v>
      </c>
      <c r="O21">
        <v>156</v>
      </c>
      <c r="P21" t="s">
        <v>103</v>
      </c>
    </row>
    <row r="22" spans="1:16" x14ac:dyDescent="0.25">
      <c r="D22">
        <v>0</v>
      </c>
      <c r="E22">
        <v>5</v>
      </c>
      <c r="I22">
        <v>364</v>
      </c>
      <c r="J22">
        <v>104</v>
      </c>
      <c r="K22" t="s">
        <v>98</v>
      </c>
      <c r="N22">
        <v>364</v>
      </c>
      <c r="O22">
        <v>104</v>
      </c>
      <c r="P22" t="s">
        <v>98</v>
      </c>
    </row>
    <row r="23" spans="1:16" x14ac:dyDescent="0.25">
      <c r="D23">
        <v>0</v>
      </c>
      <c r="E23">
        <v>10</v>
      </c>
      <c r="I23">
        <v>364</v>
      </c>
      <c r="J23">
        <v>52</v>
      </c>
      <c r="K23" t="s">
        <v>99</v>
      </c>
      <c r="N23">
        <v>364</v>
      </c>
      <c r="O23">
        <v>52</v>
      </c>
      <c r="P23" t="s">
        <v>99</v>
      </c>
    </row>
    <row r="24" spans="1:16" x14ac:dyDescent="0.25">
      <c r="I24">
        <v>312</v>
      </c>
      <c r="J24">
        <v>208</v>
      </c>
      <c r="K24" t="s">
        <v>100</v>
      </c>
      <c r="N24">
        <v>312</v>
      </c>
      <c r="O24">
        <v>208</v>
      </c>
      <c r="P24" t="s">
        <v>100</v>
      </c>
    </row>
    <row r="25" spans="1:16" x14ac:dyDescent="0.25">
      <c r="A25" t="s">
        <v>117</v>
      </c>
      <c r="B25" t="s">
        <v>119</v>
      </c>
      <c r="C25" t="s">
        <v>118</v>
      </c>
      <c r="I25">
        <v>312</v>
      </c>
      <c r="J25">
        <v>156</v>
      </c>
      <c r="K25" t="s">
        <v>104</v>
      </c>
      <c r="N25">
        <v>312</v>
      </c>
      <c r="O25">
        <v>156</v>
      </c>
      <c r="P25" t="s">
        <v>104</v>
      </c>
    </row>
    <row r="26" spans="1:16" x14ac:dyDescent="0.25">
      <c r="A26" s="10" t="s">
        <v>4</v>
      </c>
      <c r="B26" s="10" t="s">
        <v>5</v>
      </c>
      <c r="C26" s="10" t="s">
        <v>4</v>
      </c>
      <c r="D26" s="10" t="s">
        <v>5</v>
      </c>
      <c r="I26">
        <v>312</v>
      </c>
      <c r="J26">
        <v>104</v>
      </c>
      <c r="K26" t="s">
        <v>101</v>
      </c>
      <c r="N26">
        <v>312</v>
      </c>
      <c r="O26">
        <v>104</v>
      </c>
      <c r="P26" t="s">
        <v>101</v>
      </c>
    </row>
    <row r="27" spans="1:16" x14ac:dyDescent="0.25">
      <c r="A27">
        <v>0.1</v>
      </c>
      <c r="B27">
        <v>1000</v>
      </c>
      <c r="C27">
        <v>0.4</v>
      </c>
      <c r="D27">
        <v>1000</v>
      </c>
      <c r="I27">
        <v>312</v>
      </c>
      <c r="J27">
        <v>52</v>
      </c>
      <c r="K27" t="s">
        <v>102</v>
      </c>
      <c r="N27">
        <v>312</v>
      </c>
      <c r="O27">
        <v>52</v>
      </c>
      <c r="P27" t="s">
        <v>102</v>
      </c>
    </row>
    <row r="28" spans="1:16" x14ac:dyDescent="0.25">
      <c r="A28">
        <v>0.3</v>
      </c>
      <c r="B28">
        <v>1000</v>
      </c>
      <c r="C28">
        <v>0.6</v>
      </c>
      <c r="D28">
        <v>1000</v>
      </c>
      <c r="I28">
        <v>260</v>
      </c>
      <c r="J28">
        <v>156</v>
      </c>
      <c r="K28" t="s">
        <v>105</v>
      </c>
      <c r="N28">
        <v>260</v>
      </c>
      <c r="O28">
        <v>156</v>
      </c>
      <c r="P28" t="s">
        <v>105</v>
      </c>
    </row>
    <row r="29" spans="1:16" x14ac:dyDescent="0.25">
      <c r="A29">
        <v>0.5</v>
      </c>
      <c r="B29">
        <v>1000</v>
      </c>
      <c r="C29">
        <v>0.7</v>
      </c>
      <c r="D29">
        <v>1000</v>
      </c>
      <c r="I29">
        <v>260</v>
      </c>
      <c r="J29">
        <v>104</v>
      </c>
      <c r="K29" t="s">
        <v>106</v>
      </c>
      <c r="N29">
        <v>260</v>
      </c>
      <c r="O29">
        <v>104</v>
      </c>
      <c r="P29" t="s">
        <v>106</v>
      </c>
    </row>
    <row r="30" spans="1:16" x14ac:dyDescent="0.25">
      <c r="A30">
        <v>0.7</v>
      </c>
      <c r="B30">
        <v>1000</v>
      </c>
      <c r="C30">
        <v>0.8</v>
      </c>
      <c r="D30">
        <v>1000</v>
      </c>
      <c r="I30">
        <v>260</v>
      </c>
      <c r="J30">
        <v>52</v>
      </c>
      <c r="K30" t="s">
        <v>107</v>
      </c>
      <c r="N30">
        <v>260</v>
      </c>
      <c r="O30">
        <v>52</v>
      </c>
      <c r="P30" t="s">
        <v>107</v>
      </c>
    </row>
    <row r="31" spans="1:16" x14ac:dyDescent="0.25">
      <c r="A31">
        <v>0</v>
      </c>
      <c r="B31">
        <v>0.3</v>
      </c>
      <c r="C31">
        <v>0.9</v>
      </c>
      <c r="D31">
        <v>1000</v>
      </c>
      <c r="I31">
        <v>208</v>
      </c>
      <c r="J31">
        <v>104</v>
      </c>
      <c r="K31" t="s">
        <v>108</v>
      </c>
      <c r="N31">
        <v>208</v>
      </c>
      <c r="O31">
        <v>104</v>
      </c>
      <c r="P31" t="s">
        <v>108</v>
      </c>
    </row>
    <row r="32" spans="1:16" x14ac:dyDescent="0.25">
      <c r="A32">
        <v>0</v>
      </c>
      <c r="B32">
        <v>0.5</v>
      </c>
      <c r="C32">
        <v>0</v>
      </c>
      <c r="D32">
        <v>0.4</v>
      </c>
      <c r="I32">
        <v>208</v>
      </c>
      <c r="J32">
        <v>52</v>
      </c>
      <c r="K32" t="s">
        <v>110</v>
      </c>
      <c r="N32">
        <v>208</v>
      </c>
      <c r="O32">
        <v>52</v>
      </c>
      <c r="P32" t="s">
        <v>110</v>
      </c>
    </row>
    <row r="33" spans="1:16" x14ac:dyDescent="0.25">
      <c r="A33">
        <v>0</v>
      </c>
      <c r="B33">
        <v>0.7</v>
      </c>
      <c r="C33">
        <v>0</v>
      </c>
      <c r="D33">
        <v>0.6</v>
      </c>
      <c r="I33">
        <v>156</v>
      </c>
      <c r="J33">
        <v>52</v>
      </c>
      <c r="K33" t="s">
        <v>109</v>
      </c>
      <c r="N33">
        <v>156</v>
      </c>
      <c r="O33">
        <v>52</v>
      </c>
      <c r="P33" t="s">
        <v>109</v>
      </c>
    </row>
    <row r="34" spans="1:16" x14ac:dyDescent="0.25">
      <c r="A34">
        <v>0</v>
      </c>
      <c r="B34">
        <v>1</v>
      </c>
      <c r="C34">
        <v>0</v>
      </c>
      <c r="D34">
        <v>0.8</v>
      </c>
    </row>
    <row r="35" spans="1:16" x14ac:dyDescent="0.25">
      <c r="A35">
        <v>0</v>
      </c>
      <c r="B35">
        <v>1000</v>
      </c>
      <c r="C35">
        <v>0</v>
      </c>
      <c r="D35">
        <v>0.9</v>
      </c>
    </row>
    <row r="36" spans="1:16" x14ac:dyDescent="0.25">
      <c r="C36">
        <v>0</v>
      </c>
      <c r="D36">
        <v>1000</v>
      </c>
      <c r="I36">
        <v>416</v>
      </c>
      <c r="J36">
        <v>156</v>
      </c>
      <c r="K36" t="s">
        <v>94</v>
      </c>
    </row>
    <row r="37" spans="1:16" x14ac:dyDescent="0.25">
      <c r="I37">
        <v>416</v>
      </c>
      <c r="J37">
        <v>104</v>
      </c>
      <c r="K37" t="s">
        <v>96</v>
      </c>
    </row>
    <row r="38" spans="1:16" x14ac:dyDescent="0.25">
      <c r="I38">
        <v>416</v>
      </c>
      <c r="J38">
        <v>52</v>
      </c>
      <c r="K38" t="s">
        <v>95</v>
      </c>
    </row>
    <row r="39" spans="1:16" x14ac:dyDescent="0.25">
      <c r="I39">
        <v>364</v>
      </c>
      <c r="J39">
        <v>208</v>
      </c>
      <c r="K39" t="s">
        <v>97</v>
      </c>
    </row>
    <row r="40" spans="1:16" x14ac:dyDescent="0.25">
      <c r="I40">
        <v>364</v>
      </c>
      <c r="J40">
        <v>156</v>
      </c>
      <c r="K40" t="s">
        <v>103</v>
      </c>
    </row>
    <row r="41" spans="1:16" x14ac:dyDescent="0.25">
      <c r="I41">
        <v>364</v>
      </c>
      <c r="J41">
        <v>104</v>
      </c>
      <c r="K41" t="s">
        <v>98</v>
      </c>
    </row>
    <row r="42" spans="1:16" x14ac:dyDescent="0.25">
      <c r="I42">
        <v>364</v>
      </c>
      <c r="J42">
        <v>52</v>
      </c>
      <c r="K42" t="s">
        <v>99</v>
      </c>
    </row>
    <row r="43" spans="1:16" x14ac:dyDescent="0.25">
      <c r="I43">
        <v>312</v>
      </c>
      <c r="J43">
        <v>208</v>
      </c>
      <c r="K43" t="s">
        <v>100</v>
      </c>
    </row>
    <row r="44" spans="1:16" x14ac:dyDescent="0.25">
      <c r="I44">
        <v>312</v>
      </c>
      <c r="J44">
        <v>156</v>
      </c>
      <c r="K44" t="s">
        <v>104</v>
      </c>
    </row>
    <row r="45" spans="1:16" x14ac:dyDescent="0.25">
      <c r="I45">
        <v>312</v>
      </c>
      <c r="J45">
        <v>104</v>
      </c>
      <c r="K45" t="s">
        <v>101</v>
      </c>
    </row>
    <row r="46" spans="1:16" x14ac:dyDescent="0.25">
      <c r="I46">
        <v>312</v>
      </c>
      <c r="J46">
        <v>52</v>
      </c>
      <c r="K46" t="s">
        <v>102</v>
      </c>
    </row>
    <row r="47" spans="1:16" x14ac:dyDescent="0.25">
      <c r="I47">
        <v>260</v>
      </c>
      <c r="J47">
        <v>156</v>
      </c>
      <c r="K47" t="s">
        <v>105</v>
      </c>
    </row>
    <row r="48" spans="1:16" x14ac:dyDescent="0.25">
      <c r="I48">
        <v>260</v>
      </c>
      <c r="J48">
        <v>104</v>
      </c>
      <c r="K48" t="s">
        <v>106</v>
      </c>
    </row>
    <row r="49" spans="1:20" x14ac:dyDescent="0.25">
      <c r="I49">
        <v>260</v>
      </c>
      <c r="J49">
        <v>52</v>
      </c>
      <c r="K49" t="s">
        <v>107</v>
      </c>
    </row>
    <row r="52" spans="1:20" x14ac:dyDescent="0.25">
      <c r="A52" s="10" t="s">
        <v>4</v>
      </c>
      <c r="B52" s="10" t="s">
        <v>5</v>
      </c>
      <c r="C52" s="10" t="s">
        <v>4</v>
      </c>
      <c r="D52" s="10" t="s">
        <v>5</v>
      </c>
      <c r="E52" s="10" t="s">
        <v>4</v>
      </c>
      <c r="F52" s="10" t="s">
        <v>5</v>
      </c>
      <c r="G52" s="10" t="s">
        <v>4</v>
      </c>
      <c r="H52" s="10" t="s">
        <v>5</v>
      </c>
      <c r="I52" s="10" t="s">
        <v>4</v>
      </c>
      <c r="J52" s="10" t="s">
        <v>5</v>
      </c>
      <c r="K52" s="10" t="s">
        <v>4</v>
      </c>
      <c r="L52" s="10" t="s">
        <v>5</v>
      </c>
      <c r="M52" s="10" t="s">
        <v>4</v>
      </c>
      <c r="N52" s="10" t="s">
        <v>5</v>
      </c>
      <c r="O52" s="10" t="s">
        <v>4</v>
      </c>
      <c r="P52" s="10" t="s">
        <v>5</v>
      </c>
      <c r="Q52" s="10" t="s">
        <v>4</v>
      </c>
      <c r="R52" s="10" t="s">
        <v>5</v>
      </c>
      <c r="S52" s="10" t="s">
        <v>4</v>
      </c>
      <c r="T52" s="10" t="s">
        <v>5</v>
      </c>
    </row>
    <row r="53" spans="1:20" x14ac:dyDescent="0.25">
      <c r="A53">
        <v>0.05</v>
      </c>
      <c r="B53">
        <v>1000</v>
      </c>
      <c r="C53">
        <v>0.5</v>
      </c>
      <c r="D53">
        <v>1000</v>
      </c>
      <c r="I53">
        <v>0.2</v>
      </c>
      <c r="J53">
        <v>1000</v>
      </c>
      <c r="K53" s="1"/>
      <c r="L53" s="1"/>
    </row>
    <row r="54" spans="1:20" x14ac:dyDescent="0.25">
      <c r="A54">
        <v>0.1</v>
      </c>
      <c r="B54">
        <v>1000</v>
      </c>
      <c r="C54">
        <v>0.6</v>
      </c>
      <c r="D54">
        <v>1000</v>
      </c>
      <c r="I54">
        <v>0.3</v>
      </c>
      <c r="J54">
        <v>1000</v>
      </c>
    </row>
    <row r="55" spans="1:20" x14ac:dyDescent="0.25">
      <c r="A55">
        <v>0.3</v>
      </c>
      <c r="B55">
        <v>1000</v>
      </c>
      <c r="C55">
        <v>0.7</v>
      </c>
      <c r="D55">
        <v>1000</v>
      </c>
      <c r="I55">
        <v>0.4</v>
      </c>
      <c r="J55">
        <v>1000</v>
      </c>
    </row>
    <row r="56" spans="1:20" x14ac:dyDescent="0.25">
      <c r="A56">
        <v>0.5</v>
      </c>
      <c r="B56">
        <v>1000</v>
      </c>
      <c r="C56">
        <v>0.8</v>
      </c>
      <c r="D56">
        <v>1000</v>
      </c>
      <c r="I56">
        <v>0.5</v>
      </c>
      <c r="J56">
        <v>1000</v>
      </c>
    </row>
    <row r="57" spans="1:20" x14ac:dyDescent="0.25">
      <c r="A57">
        <v>0.7</v>
      </c>
      <c r="B57">
        <v>1000</v>
      </c>
      <c r="C57">
        <v>0.9</v>
      </c>
      <c r="D57">
        <v>1000</v>
      </c>
      <c r="I57">
        <v>0.6</v>
      </c>
      <c r="J57">
        <v>1000</v>
      </c>
    </row>
    <row r="58" spans="1:20" x14ac:dyDescent="0.25">
      <c r="I58">
        <v>0.7</v>
      </c>
      <c r="J58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WFA</vt:lpstr>
      <vt:lpstr>Statement</vt:lpstr>
      <vt:lpstr>Back-test</vt:lpstr>
      <vt:lpstr>Hidden Settings</vt:lpstr>
      <vt:lpstr>Sorting</vt:lpstr>
      <vt:lpstr>Experiments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maladziashyn</dc:creator>
  <cp:lastModifiedBy>Maladziashyn, Raman</cp:lastModifiedBy>
  <dcterms:created xsi:type="dcterms:W3CDTF">2020-09-21T11:33:14Z</dcterms:created>
  <dcterms:modified xsi:type="dcterms:W3CDTF">2022-04-15T18:00:27Z</dcterms:modified>
</cp:coreProperties>
</file>