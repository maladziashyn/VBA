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075" yWindow="3075" windowWidth="21600" windowHeight="11385" tabRatio="859"/>
  </bookViews>
  <sheets>
    <sheet name="WFA" sheetId="21" r:id="rId1"/>
    <sheet name="Statement" sheetId="31" r:id="rId2"/>
    <sheet name="Back-test" sheetId="18" state="hidden" r:id="rId3"/>
    <sheet name="Hidden Settings" sheetId="20" state="hidden" r:id="rId4"/>
    <sheet name="Sorting" sheetId="28" state="hidden" r:id="rId5"/>
    <sheet name="Experiments" sheetId="30" state="hidden" r:id="rId6"/>
  </sheets>
  <functionGroups/>
  <definedNames>
    <definedName name="_xlnm._FilterDatabase" localSheetId="4" hidden="1">Sorting!#REF!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0"/>
  <c r="J11"/>
  <c r="J10"/>
  <c r="J9"/>
  <c r="J8"/>
  <c r="J7"/>
  <c r="J6"/>
  <c r="J5"/>
  <c r="J4"/>
  <c r="I12"/>
  <c r="I11"/>
  <c r="I10"/>
  <c r="I9"/>
  <c r="I8"/>
  <c r="I7"/>
  <c r="I6"/>
  <c r="I5"/>
  <c r="I4"/>
  <c r="J3"/>
  <c r="I3"/>
</calcChain>
</file>

<file path=xl/sharedStrings.xml><?xml version="1.0" encoding="utf-8"?>
<sst xmlns="http://schemas.openxmlformats.org/spreadsheetml/2006/main" count="286" uniqueCount="153">
  <si>
    <t>Test window, start</t>
  </si>
  <si>
    <t>Test window, end</t>
  </si>
  <si>
    <t>Target MDD</t>
  </si>
  <si>
    <t>MDD freedom</t>
  </si>
  <si>
    <t>min</t>
  </si>
  <si>
    <t>max</t>
  </si>
  <si>
    <t>Выделить все</t>
  </si>
  <si>
    <t>Instrument groups</t>
  </si>
  <si>
    <t>audcad</t>
  </si>
  <si>
    <t>AUD/CAD</t>
  </si>
  <si>
    <t>_cux</t>
  </si>
  <si>
    <t>audchf</t>
  </si>
  <si>
    <t>AUD/CHF</t>
  </si>
  <si>
    <t>audjpy</t>
  </si>
  <si>
    <t>AUD/JPY</t>
  </si>
  <si>
    <t>audnzd</t>
  </si>
  <si>
    <t>AUD/NZD</t>
  </si>
  <si>
    <t>_cxu</t>
  </si>
  <si>
    <t>audusd</t>
  </si>
  <si>
    <t>AUD/USD</t>
  </si>
  <si>
    <t>_mxu</t>
  </si>
  <si>
    <t>cadchf</t>
  </si>
  <si>
    <t>CAD/CHF</t>
  </si>
  <si>
    <t>cadjpy</t>
  </si>
  <si>
    <t>CAD/JPY</t>
  </si>
  <si>
    <t>chfjpy</t>
  </si>
  <si>
    <t>CHF/JPY</t>
  </si>
  <si>
    <t>euraud</t>
  </si>
  <si>
    <t>EUR/AUD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</si>
  <si>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</si>
  <si>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</si>
  <si>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</si>
  <si>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</si>
  <si>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</si>
  <si>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</si>
  <si>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</si>
  <si>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</si>
  <si>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eurnzd</t>
  </si>
  <si>
    <t>EUR/NZD</t>
  </si>
  <si>
    <t>eurusd</t>
  </si>
  <si>
    <t>EUR/USD</t>
  </si>
  <si>
    <t>gbpaud</t>
  </si>
  <si>
    <t>GBP/AUD</t>
  </si>
  <si>
    <t>gbpcad</t>
  </si>
  <si>
    <t>GBP/CAD</t>
  </si>
  <si>
    <t>gbpchf</t>
  </si>
  <si>
    <t>GBP/CHF</t>
  </si>
  <si>
    <t>gbpjpy</t>
  </si>
  <si>
    <t>GBP/JPY</t>
  </si>
  <si>
    <t>gbpnzd</t>
  </si>
  <si>
    <t>GBP/NZD</t>
  </si>
  <si>
    <t>gbpusd</t>
  </si>
  <si>
    <t>GBP/USD</t>
  </si>
  <si>
    <t>nzdcad</t>
  </si>
  <si>
    <t>NZD/CAD</t>
  </si>
  <si>
    <t>nzdchf</t>
  </si>
  <si>
    <t>NZD/CHF</t>
  </si>
  <si>
    <t>nzdjpy</t>
  </si>
  <si>
    <t>NZD/JPY</t>
  </si>
  <si>
    <t>nzdusd</t>
  </si>
  <si>
    <t>NZD/USD</t>
  </si>
  <si>
    <t>usdcad</t>
  </si>
  <si>
    <t>USD/CAD</t>
  </si>
  <si>
    <t>_mux</t>
  </si>
  <si>
    <t>usdchf</t>
  </si>
  <si>
    <t>USD/CHF</t>
  </si>
  <si>
    <t>usdjpy</t>
  </si>
  <si>
    <t>USD/JPY</t>
  </si>
  <si>
    <t>xagusd</t>
  </si>
  <si>
    <t>XAG/USD</t>
  </si>
  <si>
    <t>xauusd</t>
  </si>
  <si>
    <t>XAU/USD</t>
  </si>
  <si>
    <t>Maximize/Minimize value</t>
  </si>
  <si>
    <t>Sharpe Ratio</t>
  </si>
  <si>
    <t>R-squared</t>
  </si>
  <si>
    <t>Recovery Factor</t>
  </si>
  <si>
    <t>Trades per Month</t>
  </si>
  <si>
    <t>Avg Winner/Loser</t>
  </si>
  <si>
    <t>MDD</t>
  </si>
  <si>
    <t>Annualized Return</t>
  </si>
  <si>
    <t>Win Ratio</t>
  </si>
  <si>
    <t>UnCheck ALL</t>
  </si>
  <si>
    <t>Maximize</t>
  </si>
  <si>
    <t>Minimize</t>
  </si>
  <si>
    <t>Source Directories</t>
  </si>
  <si>
    <t>IS weeks</t>
  </si>
  <si>
    <t>OS weeks</t>
  </si>
  <si>
    <t>code</t>
  </si>
  <si>
    <t>WFA settings</t>
  </si>
  <si>
    <t>Target Directory</t>
  </si>
  <si>
    <t>Scan mode</t>
  </si>
  <si>
    <t>In-Sample / Out-of-Sample Windows</t>
  </si>
  <si>
    <t>Avg Trade</t>
  </si>
  <si>
    <t>Profit Factor</t>
  </si>
  <si>
    <t>i8o3</t>
  </si>
  <si>
    <t>i8o1</t>
  </si>
  <si>
    <t>i8o2</t>
  </si>
  <si>
    <t>i7o4</t>
  </si>
  <si>
    <t>i7o2</t>
  </si>
  <si>
    <t>i7o1</t>
  </si>
  <si>
    <t>i6o4</t>
  </si>
  <si>
    <t>i6o2</t>
  </si>
  <si>
    <t>i6o1</t>
  </si>
  <si>
    <t>i7o3</t>
  </si>
  <si>
    <t>i6o3</t>
  </si>
  <si>
    <t>i5o3</t>
  </si>
  <si>
    <t>i5o2</t>
  </si>
  <si>
    <t>i5o1</t>
  </si>
  <si>
    <t>i4o2</t>
  </si>
  <si>
    <t>i3o1</t>
  </si>
  <si>
    <t>i4o1</t>
  </si>
  <si>
    <t>Sharpe</t>
  </si>
  <si>
    <t>MAXIMIZE</t>
  </si>
  <si>
    <t>ПЕРЕМЕЩЕНИЕ ОКНА</t>
  </si>
  <si>
    <t>ПОВЫШЕНИЕ ПОЛА</t>
  </si>
  <si>
    <t>ПОВЫШЕНИЕ ПОТОЛКА</t>
  </si>
  <si>
    <t>Trades per month</t>
  </si>
  <si>
    <t>Шарп</t>
  </si>
  <si>
    <t>Р-квадрат</t>
  </si>
  <si>
    <t>макс</t>
  </si>
  <si>
    <t>Parent directory</t>
  </si>
  <si>
    <t>Date from</t>
  </si>
  <si>
    <t>Date to</t>
  </si>
  <si>
    <t>Completed reports</t>
  </si>
  <si>
    <t>Dates</t>
  </si>
  <si>
    <t>Count</t>
  </si>
  <si>
    <t>Depo_ini</t>
  </si>
  <si>
    <t>Algo name</t>
  </si>
  <si>
    <t>Time from</t>
  </si>
  <si>
    <t>Time to</t>
  </si>
  <si>
    <t>Link</t>
  </si>
  <si>
    <t>*** JOIN HISTORICAL WINDOWS ***</t>
  </si>
  <si>
    <t>*** PROCESS BACK-TEST REPORTS ***</t>
  </si>
  <si>
    <t>Strategy name</t>
  </si>
  <si>
    <t>Target directory</t>
  </si>
  <si>
    <t>Source directories</t>
  </si>
  <si>
    <t>HTML count</t>
  </si>
  <si>
    <t>*** CHECK COMPLETED REPORTS ***</t>
  </si>
  <si>
    <t>Buttons</t>
  </si>
  <si>
    <t>C:\RM_local\HTML_SRC\ATRDiff_v1</t>
  </si>
  <si>
    <t>ATRDiff_v1</t>
  </si>
  <si>
    <t>Funds History</t>
  </si>
  <si>
    <t>Portfolio Summary</t>
  </si>
  <si>
    <t>Positions Close</t>
  </si>
  <si>
    <t>*** SOURCE DIRECTORIES ***</t>
  </si>
  <si>
    <t>*** TARGET DIRECTORY ***</t>
  </si>
  <si>
    <t>C:\RM_local\DC-live-Moderate\report-dukascopy-demo\funds-history</t>
  </si>
  <si>
    <t>C:\RM_local\DC-live-Moderate\report-dukascopy-demo\portfolio-summary</t>
  </si>
  <si>
    <t>C:\RM_local\DC-live-Moderate\report-dukascopy-demo\positions-close</t>
  </si>
  <si>
    <t>C:\RM_local\DC-live-Moderate\report-dukascopy-demo</t>
  </si>
  <si>
    <t>Initial deposit</t>
  </si>
  <si>
    <t>C:\RM_local\btc_wfa\target</t>
  </si>
  <si>
    <t>C:\RM_local\btc_wfa</t>
  </si>
</sst>
</file>

<file path=xl/styles.xml><?xml version="1.0" encoding="utf-8"?>
<styleSheet xmlns="http://schemas.openxmlformats.org/spreadsheetml/2006/main">
  <numFmts count="1">
    <numFmt numFmtId="164" formatCode="dd/mm/yyyy;@"/>
  </numFmts>
  <fonts count="15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70C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8"/>
      <color rgb="FF000000"/>
      <name val="Tahoma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26"/>
      <color rgb="FF0066CC"/>
      <name val="Calibri"/>
      <family val="2"/>
      <charset val="238"/>
      <scheme val="minor"/>
    </font>
    <font>
      <sz val="11"/>
      <color rgb="FF0066CC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3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/>
    <xf numFmtId="0" fontId="3" fillId="2" borderId="0" xfId="0" applyFont="1" applyFill="1"/>
    <xf numFmtId="0" fontId="0" fillId="0" borderId="2" xfId="0" applyBorder="1"/>
    <xf numFmtId="10" fontId="0" fillId="0" borderId="2" xfId="0" applyNumberFormat="1" applyBorder="1"/>
    <xf numFmtId="0" fontId="0" fillId="5" borderId="0" xfId="0" applyFill="1"/>
    <xf numFmtId="0" fontId="6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7" fillId="0" borderId="0" xfId="0" applyFont="1"/>
    <xf numFmtId="0" fontId="2" fillId="2" borderId="0" xfId="0" applyFont="1" applyFill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3" fillId="2" borderId="0" xfId="0" applyFont="1" applyFill="1" applyAlignment="1"/>
    <xf numFmtId="14" fontId="0" fillId="0" borderId="0" xfId="0" applyNumberFormat="1" applyFill="1"/>
    <xf numFmtId="9" fontId="0" fillId="0" borderId="0" xfId="0" applyNumberFormat="1"/>
    <xf numFmtId="0" fontId="0" fillId="4" borderId="0" xfId="0" applyFont="1" applyFill="1" applyBorder="1" applyAlignment="1">
      <alignment horizontal="center"/>
    </xf>
    <xf numFmtId="164" fontId="0" fillId="4" borderId="0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0"/>
  <tableStyles count="0" defaultTableStyle="TableStyleMedium9" defaultPivotStyle="PivotStyleLight16"/>
  <colors>
    <mruColors>
      <color rgb="FF0070C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94"/>
  <sheetViews>
    <sheetView tabSelected="1" workbookViewId="0">
      <selection activeCell="B14" sqref="B14"/>
    </sheetView>
  </sheetViews>
  <sheetFormatPr defaultRowHeight="15"/>
  <cols>
    <col min="24" max="24" width="5" customWidth="1"/>
    <col min="25" max="27" width="12.5703125" customWidth="1"/>
    <col min="28" max="28" width="11.28515625" customWidth="1"/>
    <col min="29" max="29" width="26.140625" bestFit="1" customWidth="1"/>
    <col min="30" max="30" width="15.7109375" customWidth="1"/>
    <col min="32" max="32" width="9.140625" customWidth="1"/>
  </cols>
  <sheetData>
    <row r="1" spans="1:30">
      <c r="A1" s="1"/>
      <c r="B1" s="1"/>
      <c r="C1" s="1"/>
      <c r="D1" s="1"/>
      <c r="E1" s="1"/>
      <c r="F1" s="1"/>
      <c r="Y1" s="20" t="s">
        <v>91</v>
      </c>
      <c r="Z1" s="20"/>
      <c r="AA1" s="20"/>
      <c r="AC1" s="5" t="s">
        <v>88</v>
      </c>
    </row>
    <row r="2" spans="1:30">
      <c r="A2" s="8"/>
      <c r="B2" s="8"/>
      <c r="C2" s="8"/>
      <c r="D2" s="8"/>
      <c r="E2" s="8"/>
      <c r="F2" s="8"/>
      <c r="Y2" s="9" t="s">
        <v>85</v>
      </c>
      <c r="Z2" s="9" t="s">
        <v>86</v>
      </c>
      <c r="AA2" s="9" t="s">
        <v>87</v>
      </c>
      <c r="AC2" t="s">
        <v>0</v>
      </c>
      <c r="AD2" s="16">
        <v>42891</v>
      </c>
    </row>
    <row r="3" spans="1:30">
      <c r="A3" s="8"/>
      <c r="B3" s="8"/>
      <c r="C3" s="8"/>
      <c r="D3" s="8"/>
      <c r="E3" s="8"/>
      <c r="F3" s="8"/>
      <c r="Y3">
        <v>416</v>
      </c>
      <c r="Z3">
        <v>156</v>
      </c>
      <c r="AA3" t="s">
        <v>94</v>
      </c>
      <c r="AC3" t="s">
        <v>1</v>
      </c>
      <c r="AD3" s="16">
        <v>44710</v>
      </c>
    </row>
    <row r="4" spans="1:30">
      <c r="A4" s="8"/>
      <c r="B4" s="8"/>
      <c r="C4" s="8"/>
      <c r="D4" s="8"/>
      <c r="E4" s="8"/>
      <c r="F4" s="8"/>
      <c r="Y4">
        <v>416</v>
      </c>
      <c r="Z4">
        <v>104</v>
      </c>
      <c r="AA4" t="s">
        <v>96</v>
      </c>
      <c r="AC4" t="s">
        <v>2</v>
      </c>
      <c r="AD4" s="17">
        <v>0.15</v>
      </c>
    </row>
    <row r="5" spans="1:30">
      <c r="A5" s="8"/>
      <c r="B5" s="8"/>
      <c r="C5" s="8"/>
      <c r="D5" s="8"/>
      <c r="E5" s="8"/>
      <c r="F5" s="8"/>
      <c r="Y5">
        <v>416</v>
      </c>
      <c r="Z5">
        <v>52</v>
      </c>
      <c r="AA5" t="s">
        <v>95</v>
      </c>
      <c r="AC5" s="6" t="s">
        <v>3</v>
      </c>
      <c r="AD5" s="7">
        <v>1E-4</v>
      </c>
    </row>
    <row r="6" spans="1:30">
      <c r="A6" s="1"/>
      <c r="B6" s="1"/>
      <c r="C6" s="1"/>
      <c r="D6" s="1"/>
      <c r="E6" s="1"/>
      <c r="F6" s="1"/>
      <c r="Y6">
        <v>364</v>
      </c>
      <c r="Z6">
        <v>208</v>
      </c>
      <c r="AA6" t="s">
        <v>97</v>
      </c>
      <c r="AC6" s="5" t="s">
        <v>89</v>
      </c>
    </row>
    <row r="7" spans="1:30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Y7">
        <v>364</v>
      </c>
      <c r="Z7">
        <v>156</v>
      </c>
      <c r="AA7" t="s">
        <v>103</v>
      </c>
      <c r="AC7" t="s">
        <v>151</v>
      </c>
    </row>
    <row r="8" spans="1:30">
      <c r="A8" s="8"/>
      <c r="W8" s="8"/>
      <c r="Y8">
        <v>364</v>
      </c>
      <c r="Z8">
        <v>104</v>
      </c>
      <c r="AA8" t="s">
        <v>98</v>
      </c>
      <c r="AC8" s="5" t="s">
        <v>84</v>
      </c>
    </row>
    <row r="9" spans="1:30">
      <c r="A9" s="8"/>
      <c r="W9" s="8"/>
      <c r="Y9">
        <v>364</v>
      </c>
      <c r="Z9">
        <v>52</v>
      </c>
      <c r="AA9" t="s">
        <v>99</v>
      </c>
      <c r="AC9" t="s">
        <v>152</v>
      </c>
    </row>
    <row r="10" spans="1:30">
      <c r="A10" s="8"/>
      <c r="W10" s="8"/>
      <c r="Y10">
        <v>312</v>
      </c>
      <c r="Z10">
        <v>208</v>
      </c>
      <c r="AA10" t="s">
        <v>100</v>
      </c>
    </row>
    <row r="11" spans="1:30">
      <c r="A11" s="8"/>
      <c r="W11" s="8"/>
      <c r="Y11">
        <v>312</v>
      </c>
      <c r="Z11">
        <v>156</v>
      </c>
      <c r="AA11" t="s">
        <v>104</v>
      </c>
    </row>
    <row r="12" spans="1:30">
      <c r="Y12">
        <v>312</v>
      </c>
      <c r="Z12">
        <v>104</v>
      </c>
      <c r="AA12" t="s">
        <v>101</v>
      </c>
    </row>
    <row r="13" spans="1:30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Y13">
        <v>312</v>
      </c>
      <c r="Z13">
        <v>52</v>
      </c>
      <c r="AA13" t="s">
        <v>102</v>
      </c>
    </row>
    <row r="14" spans="1:30">
      <c r="C14" s="10" t="s">
        <v>4</v>
      </c>
      <c r="D14" s="10" t="s">
        <v>5</v>
      </c>
      <c r="E14" s="10" t="s">
        <v>4</v>
      </c>
      <c r="F14" s="10" t="s">
        <v>5</v>
      </c>
      <c r="G14" s="10" t="s">
        <v>4</v>
      </c>
      <c r="H14" s="10" t="s">
        <v>5</v>
      </c>
      <c r="I14" s="10" t="s">
        <v>4</v>
      </c>
      <c r="J14" s="10" t="s">
        <v>5</v>
      </c>
      <c r="K14" s="10" t="s">
        <v>4</v>
      </c>
      <c r="L14" s="10" t="s">
        <v>5</v>
      </c>
      <c r="M14" s="10" t="s">
        <v>4</v>
      </c>
      <c r="N14" s="10" t="s">
        <v>5</v>
      </c>
      <c r="O14" s="10" t="s">
        <v>4</v>
      </c>
      <c r="P14" s="10" t="s">
        <v>5</v>
      </c>
      <c r="Q14" s="10" t="s">
        <v>4</v>
      </c>
      <c r="R14" s="10" t="s">
        <v>5</v>
      </c>
      <c r="S14" s="10" t="s">
        <v>4</v>
      </c>
      <c r="T14" s="10" t="s">
        <v>5</v>
      </c>
      <c r="U14" s="10" t="s">
        <v>4</v>
      </c>
      <c r="V14" s="10" t="s">
        <v>5</v>
      </c>
      <c r="W14" s="2"/>
      <c r="Y14">
        <v>260</v>
      </c>
      <c r="Z14">
        <v>156</v>
      </c>
      <c r="AA14" t="s">
        <v>105</v>
      </c>
      <c r="AB14" s="2"/>
    </row>
    <row r="15" spans="1:30">
      <c r="C15">
        <v>0.05</v>
      </c>
      <c r="D15">
        <v>1000</v>
      </c>
      <c r="E15">
        <v>0.5</v>
      </c>
      <c r="F15">
        <v>1000</v>
      </c>
      <c r="K15">
        <v>0.2</v>
      </c>
      <c r="L15">
        <v>1000</v>
      </c>
      <c r="M15" s="1"/>
      <c r="N15" s="1"/>
      <c r="Y15">
        <v>260</v>
      </c>
      <c r="Z15">
        <v>104</v>
      </c>
      <c r="AA15" t="s">
        <v>106</v>
      </c>
    </row>
    <row r="16" spans="1:30">
      <c r="C16">
        <v>0.1</v>
      </c>
      <c r="D16">
        <v>1000</v>
      </c>
      <c r="E16">
        <v>0.6</v>
      </c>
      <c r="F16">
        <v>1000</v>
      </c>
      <c r="K16">
        <v>0.3</v>
      </c>
      <c r="L16">
        <v>1000</v>
      </c>
      <c r="Y16">
        <v>260</v>
      </c>
      <c r="Z16">
        <v>52</v>
      </c>
      <c r="AA16" t="s">
        <v>107</v>
      </c>
    </row>
    <row r="17" spans="3:12">
      <c r="C17">
        <v>0.3</v>
      </c>
      <c r="D17">
        <v>1000</v>
      </c>
      <c r="E17">
        <v>0.7</v>
      </c>
      <c r="F17">
        <v>1000</v>
      </c>
      <c r="K17">
        <v>0.4</v>
      </c>
      <c r="L17">
        <v>1000</v>
      </c>
    </row>
    <row r="18" spans="3:12">
      <c r="C18">
        <v>0.5</v>
      </c>
      <c r="D18">
        <v>1000</v>
      </c>
      <c r="E18">
        <v>0.8</v>
      </c>
      <c r="F18">
        <v>1000</v>
      </c>
      <c r="K18">
        <v>0.5</v>
      </c>
      <c r="L18">
        <v>1000</v>
      </c>
    </row>
    <row r="19" spans="3:12">
      <c r="C19">
        <v>0.7</v>
      </c>
      <c r="D19">
        <v>1000</v>
      </c>
      <c r="E19">
        <v>0.9</v>
      </c>
      <c r="F19">
        <v>1000</v>
      </c>
      <c r="K19">
        <v>0.6</v>
      </c>
      <c r="L19">
        <v>1000</v>
      </c>
    </row>
    <row r="20" spans="3:12">
      <c r="K20">
        <v>0.7</v>
      </c>
      <c r="L20">
        <v>1000</v>
      </c>
    </row>
    <row r="21" spans="3:12">
      <c r="G21" s="4"/>
      <c r="H21" s="4"/>
      <c r="K21" s="4"/>
    </row>
    <row r="22" spans="3:12">
      <c r="G22" s="11"/>
      <c r="H22" s="11"/>
      <c r="K22" s="11"/>
      <c r="L22" s="11"/>
    </row>
    <row r="57" spans="2:2">
      <c r="B57" s="4"/>
    </row>
    <row r="58" spans="2:2">
      <c r="B58" s="4"/>
    </row>
    <row r="59" spans="2:2">
      <c r="B59" s="4"/>
    </row>
    <row r="60" spans="2:2">
      <c r="B60" s="4"/>
    </row>
    <row r="61" spans="2:2">
      <c r="B61" s="4"/>
    </row>
    <row r="62" spans="2:2">
      <c r="B62" s="4"/>
    </row>
    <row r="63" spans="2:2">
      <c r="B63" s="4"/>
    </row>
    <row r="64" spans="2:2">
      <c r="B64" s="4"/>
    </row>
    <row r="65" spans="2:2">
      <c r="B65" s="4"/>
    </row>
    <row r="66" spans="2:2">
      <c r="B66" s="4"/>
    </row>
    <row r="67" spans="2:2">
      <c r="B67" s="4"/>
    </row>
    <row r="68" spans="2:2">
      <c r="B68" s="4"/>
    </row>
    <row r="69" spans="2:2">
      <c r="B69" s="4"/>
    </row>
    <row r="70" spans="2:2">
      <c r="B70" s="4"/>
    </row>
    <row r="71" spans="2:2">
      <c r="B71" s="4"/>
    </row>
    <row r="72" spans="2:2">
      <c r="B72" s="4"/>
    </row>
    <row r="73" spans="2:2">
      <c r="B73" s="4"/>
    </row>
    <row r="74" spans="2:2">
      <c r="B74" s="4"/>
    </row>
    <row r="75" spans="2:2">
      <c r="B75" s="4"/>
    </row>
    <row r="76" spans="2:2">
      <c r="B76" s="4"/>
    </row>
    <row r="77" spans="2:2">
      <c r="B77" s="4"/>
    </row>
    <row r="78" spans="2:2">
      <c r="B78" s="4"/>
    </row>
    <row r="79" spans="2:2">
      <c r="B79" s="4"/>
    </row>
    <row r="80" spans="2:2">
      <c r="B80" s="4"/>
    </row>
    <row r="81" spans="2:2">
      <c r="B81" s="4"/>
    </row>
    <row r="82" spans="2:2">
      <c r="B82" s="4"/>
    </row>
    <row r="83" spans="2:2">
      <c r="B83" s="4"/>
    </row>
    <row r="84" spans="2:2">
      <c r="B84" s="4"/>
    </row>
    <row r="85" spans="2:2">
      <c r="B85" s="4"/>
    </row>
    <row r="86" spans="2:2">
      <c r="B86" s="4"/>
    </row>
    <row r="87" spans="2:2">
      <c r="B87" s="4"/>
    </row>
    <row r="88" spans="2:2">
      <c r="B88" s="4"/>
    </row>
    <row r="89" spans="2:2">
      <c r="B89" s="4"/>
    </row>
    <row r="90" spans="2:2">
      <c r="B90" s="4"/>
    </row>
    <row r="91" spans="2:2">
      <c r="B91" s="4"/>
    </row>
    <row r="92" spans="2:2">
      <c r="B92" s="4"/>
    </row>
    <row r="93" spans="2:2">
      <c r="B93" s="4"/>
    </row>
    <row r="94" spans="2:2">
      <c r="B94" s="4"/>
    </row>
  </sheetData>
  <dataConsolidate/>
  <mergeCells count="1">
    <mergeCell ref="Y1:AA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"/>
  <sheetViews>
    <sheetView workbookViewId="0">
      <selection sqref="A1:C1"/>
    </sheetView>
  </sheetViews>
  <sheetFormatPr defaultRowHeight="15"/>
  <cols>
    <col min="1" max="1" width="33.42578125" customWidth="1"/>
    <col min="2" max="2" width="12.140625" customWidth="1"/>
    <col min="3" max="3" width="70.140625" bestFit="1" customWidth="1"/>
  </cols>
  <sheetData>
    <row r="1" spans="1:3">
      <c r="A1" s="21" t="s">
        <v>144</v>
      </c>
      <c r="B1" s="21"/>
      <c r="C1" s="21"/>
    </row>
    <row r="2" spans="1:3">
      <c r="A2" s="2" t="s">
        <v>141</v>
      </c>
      <c r="C2" t="s">
        <v>146</v>
      </c>
    </row>
    <row r="3" spans="1:3">
      <c r="A3" s="2" t="s">
        <v>142</v>
      </c>
      <c r="C3" t="s">
        <v>147</v>
      </c>
    </row>
    <row r="4" spans="1:3">
      <c r="A4" s="2" t="s">
        <v>143</v>
      </c>
      <c r="C4" t="s">
        <v>148</v>
      </c>
    </row>
    <row r="5" spans="1:3">
      <c r="A5" s="2"/>
    </row>
    <row r="6" spans="1:3">
      <c r="A6" s="21" t="s">
        <v>145</v>
      </c>
      <c r="B6" s="21"/>
      <c r="C6" s="21"/>
    </row>
    <row r="7" spans="1:3">
      <c r="A7" s="2" t="s">
        <v>89</v>
      </c>
      <c r="C7" t="s">
        <v>149</v>
      </c>
    </row>
  </sheetData>
  <mergeCells count="2">
    <mergeCell ref="A1:C1"/>
    <mergeCell ref="A6:C6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3"/>
  <sheetViews>
    <sheetView workbookViewId="0">
      <selection activeCell="A7" sqref="A7"/>
    </sheetView>
  </sheetViews>
  <sheetFormatPr defaultRowHeight="15"/>
  <cols>
    <col min="1" max="1" width="17.28515625" bestFit="1" customWidth="1"/>
    <col min="2" max="2" width="34.7109375" bestFit="1" customWidth="1"/>
    <col min="3" max="3" width="15.7109375" customWidth="1"/>
    <col min="4" max="4" width="6.140625" customWidth="1"/>
    <col min="5" max="5" width="18" customWidth="1"/>
    <col min="6" max="6" width="6.140625" customWidth="1"/>
    <col min="7" max="7" width="28.140625" customWidth="1"/>
    <col min="8" max="11" width="10.5703125" customWidth="1"/>
    <col min="12" max="13" width="11.42578125" customWidth="1"/>
    <col min="14" max="14" width="10.42578125" customWidth="1"/>
  </cols>
  <sheetData>
    <row r="1" spans="1:15">
      <c r="A1" s="15"/>
      <c r="B1" s="12" t="s">
        <v>132</v>
      </c>
      <c r="C1" s="15"/>
      <c r="E1" s="12" t="s">
        <v>138</v>
      </c>
      <c r="G1" s="22" t="s">
        <v>137</v>
      </c>
      <c r="H1" s="22"/>
      <c r="I1" s="22"/>
      <c r="J1" s="22"/>
      <c r="K1" s="22"/>
      <c r="L1" s="22"/>
      <c r="M1" s="22"/>
      <c r="N1" s="22"/>
      <c r="O1" s="22"/>
    </row>
    <row r="2" spans="1:15">
      <c r="A2" t="s">
        <v>120</v>
      </c>
      <c r="B2" t="s">
        <v>139</v>
      </c>
      <c r="G2" s="13" t="s">
        <v>123</v>
      </c>
      <c r="H2" s="14" t="s">
        <v>124</v>
      </c>
      <c r="I2" s="14" t="s">
        <v>125</v>
      </c>
      <c r="J2" s="14" t="s">
        <v>126</v>
      </c>
      <c r="K2" s="14" t="s">
        <v>127</v>
      </c>
      <c r="L2" s="13" t="s">
        <v>128</v>
      </c>
      <c r="M2" s="13" t="s">
        <v>129</v>
      </c>
      <c r="N2" s="13" t="s">
        <v>130</v>
      </c>
    </row>
    <row r="3" spans="1:15">
      <c r="A3" t="s">
        <v>133</v>
      </c>
      <c r="B3" t="s">
        <v>140</v>
      </c>
    </row>
    <row r="4" spans="1:15">
      <c r="A4" t="s">
        <v>150</v>
      </c>
      <c r="B4" s="18">
        <v>10000</v>
      </c>
    </row>
    <row r="5" spans="1:15">
      <c r="A5" t="s">
        <v>121</v>
      </c>
      <c r="B5" s="19">
        <v>44116</v>
      </c>
    </row>
    <row r="6" spans="1:15">
      <c r="A6" t="s">
        <v>122</v>
      </c>
      <c r="B6" s="19">
        <v>44262</v>
      </c>
    </row>
    <row r="7" spans="1:15">
      <c r="A7" t="s">
        <v>136</v>
      </c>
      <c r="B7" s="18">
        <v>450</v>
      </c>
    </row>
    <row r="8" spans="1:15">
      <c r="B8" s="2"/>
    </row>
    <row r="10" spans="1:15">
      <c r="A10" s="15"/>
      <c r="B10" s="12" t="s">
        <v>131</v>
      </c>
      <c r="C10" s="15"/>
    </row>
    <row r="11" spans="1:15">
      <c r="A11" t="s">
        <v>134</v>
      </c>
    </row>
    <row r="13" spans="1:15">
      <c r="A13" t="s">
        <v>135</v>
      </c>
    </row>
  </sheetData>
  <mergeCells count="1">
    <mergeCell ref="G1:O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0"/>
  <dimension ref="A1:J31"/>
  <sheetViews>
    <sheetView workbookViewId="0">
      <selection activeCell="C19" sqref="C19"/>
    </sheetView>
  </sheetViews>
  <sheetFormatPr defaultRowHeight="15"/>
  <cols>
    <col min="1" max="1" width="13.5703125" bestFit="1" customWidth="1"/>
    <col min="3" max="3" width="10.7109375" bestFit="1" customWidth="1"/>
    <col min="7" max="7" width="25.7109375" bestFit="1" customWidth="1"/>
  </cols>
  <sheetData>
    <row r="1" spans="1:10">
      <c r="A1" t="s">
        <v>6</v>
      </c>
      <c r="B1" t="b">
        <v>0</v>
      </c>
      <c r="D1" t="s">
        <v>7</v>
      </c>
      <c r="G1" t="s">
        <v>72</v>
      </c>
      <c r="H1">
        <v>2</v>
      </c>
      <c r="I1" t="s">
        <v>82</v>
      </c>
      <c r="J1" t="s">
        <v>83</v>
      </c>
    </row>
    <row r="2" spans="1:10">
      <c r="A2" t="s">
        <v>8</v>
      </c>
      <c r="B2" t="b">
        <v>0</v>
      </c>
      <c r="D2" t="s">
        <v>9</v>
      </c>
      <c r="E2" t="s">
        <v>10</v>
      </c>
      <c r="G2" s="4" t="s">
        <v>81</v>
      </c>
      <c r="H2" t="b">
        <v>0</v>
      </c>
    </row>
    <row r="3" spans="1:10">
      <c r="A3" t="s">
        <v>11</v>
      </c>
      <c r="B3" t="b">
        <v>0</v>
      </c>
      <c r="D3" t="s">
        <v>12</v>
      </c>
      <c r="E3" t="s">
        <v>10</v>
      </c>
      <c r="G3" t="s">
        <v>73</v>
      </c>
      <c r="H3" t="b">
        <v>1</v>
      </c>
      <c r="I3" t="b">
        <f>IF($H$1=2,TRUE, FALSE)</f>
        <v>1</v>
      </c>
      <c r="J3" t="b">
        <f>IF($H$1=3,TRUE, FALSE)</f>
        <v>0</v>
      </c>
    </row>
    <row r="4" spans="1:10">
      <c r="A4" t="s">
        <v>13</v>
      </c>
      <c r="B4" t="b">
        <v>0</v>
      </c>
      <c r="D4" t="s">
        <v>14</v>
      </c>
      <c r="E4" t="s">
        <v>10</v>
      </c>
      <c r="G4" t="s">
        <v>74</v>
      </c>
      <c r="H4" t="b">
        <v>1</v>
      </c>
      <c r="I4" t="b">
        <f>IF($H$1=4,TRUE, FALSE)</f>
        <v>0</v>
      </c>
      <c r="J4" t="b">
        <f>IF($H$1=5,TRUE, FALSE)</f>
        <v>0</v>
      </c>
    </row>
    <row r="5" spans="1:10">
      <c r="A5" t="s">
        <v>15</v>
      </c>
      <c r="B5" t="b">
        <v>0</v>
      </c>
      <c r="D5" t="s">
        <v>16</v>
      </c>
      <c r="E5" t="s">
        <v>17</v>
      </c>
      <c r="G5" t="s">
        <v>79</v>
      </c>
      <c r="H5" t="b">
        <v>0</v>
      </c>
      <c r="I5" t="b">
        <f>IF($H$1=6,TRUE, FALSE)</f>
        <v>0</v>
      </c>
      <c r="J5" t="b">
        <f>IF($H$1=7,TRUE, FALSE)</f>
        <v>0</v>
      </c>
    </row>
    <row r="6" spans="1:10">
      <c r="A6" t="s">
        <v>18</v>
      </c>
      <c r="B6" t="b">
        <v>0</v>
      </c>
      <c r="D6" t="s">
        <v>19</v>
      </c>
      <c r="E6" t="s">
        <v>20</v>
      </c>
      <c r="G6" t="s">
        <v>78</v>
      </c>
      <c r="H6" t="b">
        <v>0</v>
      </c>
      <c r="I6" t="b">
        <f>IF($H$1=8,TRUE, FALSE)</f>
        <v>0</v>
      </c>
      <c r="J6" t="b">
        <f>IF($H$1=9,TRUE, FALSE)</f>
        <v>0</v>
      </c>
    </row>
    <row r="7" spans="1:10">
      <c r="A7" t="s">
        <v>21</v>
      </c>
      <c r="B7" t="b">
        <v>0</v>
      </c>
      <c r="D7" t="s">
        <v>22</v>
      </c>
      <c r="E7" t="s">
        <v>10</v>
      </c>
      <c r="G7" t="s">
        <v>75</v>
      </c>
      <c r="H7" t="b">
        <v>1</v>
      </c>
      <c r="I7" t="b">
        <f>IF($H$1=10,TRUE, FALSE)</f>
        <v>0</v>
      </c>
      <c r="J7" t="b">
        <f>IF($H$1=11,TRUE, FALSE)</f>
        <v>0</v>
      </c>
    </row>
    <row r="8" spans="1:10">
      <c r="A8" t="s">
        <v>23</v>
      </c>
      <c r="B8" t="b">
        <v>0</v>
      </c>
      <c r="D8" t="s">
        <v>24</v>
      </c>
      <c r="E8" t="s">
        <v>10</v>
      </c>
      <c r="G8" t="s">
        <v>76</v>
      </c>
      <c r="H8" t="b">
        <v>0</v>
      </c>
      <c r="I8" t="b">
        <f>IF($H$1=12,TRUE, FALSE)</f>
        <v>0</v>
      </c>
      <c r="J8" t="b">
        <f>IF($H$1=13,TRUE, FALSE)</f>
        <v>0</v>
      </c>
    </row>
    <row r="9" spans="1:10">
      <c r="A9" t="s">
        <v>25</v>
      </c>
      <c r="B9" t="b">
        <v>0</v>
      </c>
      <c r="D9" t="s">
        <v>26</v>
      </c>
      <c r="E9" t="s">
        <v>10</v>
      </c>
      <c r="G9" t="s">
        <v>80</v>
      </c>
      <c r="H9" t="b">
        <v>0</v>
      </c>
      <c r="I9" t="b">
        <f>IF($H$1=14,TRUE, FALSE)</f>
        <v>0</v>
      </c>
      <c r="J9" t="b">
        <f>IF($H$1=15,TRUE, FALSE)</f>
        <v>0</v>
      </c>
    </row>
    <row r="10" spans="1:10">
      <c r="A10" t="s">
        <v>27</v>
      </c>
      <c r="B10" t="b">
        <v>0</v>
      </c>
      <c r="D10" t="s">
        <v>28</v>
      </c>
      <c r="E10" t="s">
        <v>17</v>
      </c>
      <c r="G10" t="s">
        <v>77</v>
      </c>
      <c r="H10" t="b">
        <v>0</v>
      </c>
      <c r="I10" t="b">
        <f>IF($H$1=16,TRUE, FALSE)</f>
        <v>0</v>
      </c>
      <c r="J10" t="b">
        <f>IF($H$1=17,TRUE, FALSE)</f>
        <v>0</v>
      </c>
    </row>
    <row r="11" spans="1:10">
      <c r="A11" t="s">
        <v>29</v>
      </c>
      <c r="B11" t="b">
        <v>0</v>
      </c>
      <c r="D11" t="s">
        <v>30</v>
      </c>
      <c r="E11" t="s">
        <v>10</v>
      </c>
      <c r="G11" t="s">
        <v>92</v>
      </c>
      <c r="H11" t="b">
        <v>0</v>
      </c>
      <c r="I11" t="b">
        <f>IF($H$1=18,TRUE, FALSE)</f>
        <v>0</v>
      </c>
      <c r="J11" t="b">
        <f>IF($H$1=19,TRUE, FALSE)</f>
        <v>0</v>
      </c>
    </row>
    <row r="12" spans="1:10">
      <c r="A12" t="s">
        <v>31</v>
      </c>
      <c r="B12" t="b">
        <v>0</v>
      </c>
      <c r="D12" t="s">
        <v>32</v>
      </c>
      <c r="E12" t="s">
        <v>10</v>
      </c>
      <c r="G12" t="s">
        <v>93</v>
      </c>
      <c r="H12" t="b">
        <v>0</v>
      </c>
      <c r="I12" t="b">
        <f>IF($H$1=20,TRUE, FALSE)</f>
        <v>0</v>
      </c>
      <c r="J12" t="b">
        <f>IF($H$1=21,TRUE, FALSE)</f>
        <v>0</v>
      </c>
    </row>
    <row r="13" spans="1:10">
      <c r="A13" t="s">
        <v>33</v>
      </c>
      <c r="B13" t="b">
        <v>0</v>
      </c>
      <c r="D13" t="s">
        <v>34</v>
      </c>
      <c r="E13" t="s">
        <v>17</v>
      </c>
    </row>
    <row r="14" spans="1:10">
      <c r="A14" t="s">
        <v>35</v>
      </c>
      <c r="B14" t="b">
        <v>0</v>
      </c>
      <c r="D14" t="s">
        <v>36</v>
      </c>
      <c r="E14" t="s">
        <v>10</v>
      </c>
    </row>
    <row r="15" spans="1:10">
      <c r="A15" t="s">
        <v>37</v>
      </c>
      <c r="B15" t="b">
        <v>0</v>
      </c>
      <c r="D15" t="s">
        <v>38</v>
      </c>
      <c r="E15" t="s">
        <v>17</v>
      </c>
    </row>
    <row r="16" spans="1:10">
      <c r="A16" t="s">
        <v>39</v>
      </c>
      <c r="B16" t="b">
        <v>0</v>
      </c>
      <c r="D16" t="s">
        <v>40</v>
      </c>
      <c r="E16" t="s">
        <v>20</v>
      </c>
    </row>
    <row r="17" spans="1:8">
      <c r="A17" t="s">
        <v>41</v>
      </c>
      <c r="B17" t="b">
        <v>0</v>
      </c>
      <c r="D17" t="s">
        <v>42</v>
      </c>
      <c r="E17" t="s">
        <v>17</v>
      </c>
    </row>
    <row r="18" spans="1:8">
      <c r="A18" t="s">
        <v>43</v>
      </c>
      <c r="B18" t="b">
        <v>0</v>
      </c>
      <c r="D18" t="s">
        <v>44</v>
      </c>
      <c r="E18" t="s">
        <v>10</v>
      </c>
      <c r="G18" t="s">
        <v>90</v>
      </c>
      <c r="H18">
        <v>1</v>
      </c>
    </row>
    <row r="19" spans="1:8">
      <c r="A19" t="s">
        <v>45</v>
      </c>
      <c r="B19" t="b">
        <v>0</v>
      </c>
      <c r="D19" t="s">
        <v>46</v>
      </c>
      <c r="E19" t="s">
        <v>10</v>
      </c>
    </row>
    <row r="20" spans="1:8">
      <c r="A20" t="s">
        <v>47</v>
      </c>
      <c r="B20" t="b">
        <v>0</v>
      </c>
      <c r="D20" t="s">
        <v>48</v>
      </c>
      <c r="E20" t="s">
        <v>10</v>
      </c>
    </row>
    <row r="21" spans="1:8">
      <c r="A21" t="s">
        <v>49</v>
      </c>
      <c r="B21" t="b">
        <v>0</v>
      </c>
      <c r="D21" t="s">
        <v>50</v>
      </c>
      <c r="E21" t="s">
        <v>17</v>
      </c>
    </row>
    <row r="22" spans="1:8">
      <c r="A22" t="s">
        <v>51</v>
      </c>
      <c r="B22" t="b">
        <v>0</v>
      </c>
      <c r="D22" t="s">
        <v>52</v>
      </c>
      <c r="E22" t="s">
        <v>20</v>
      </c>
    </row>
    <row r="23" spans="1:8">
      <c r="A23" t="s">
        <v>53</v>
      </c>
      <c r="B23" t="b">
        <v>0</v>
      </c>
      <c r="D23" t="s">
        <v>54</v>
      </c>
      <c r="E23" t="s">
        <v>10</v>
      </c>
    </row>
    <row r="24" spans="1:8">
      <c r="A24" t="s">
        <v>55</v>
      </c>
      <c r="B24" t="b">
        <v>0</v>
      </c>
      <c r="D24" t="s">
        <v>56</v>
      </c>
      <c r="E24" t="s">
        <v>10</v>
      </c>
    </row>
    <row r="25" spans="1:8">
      <c r="A25" t="s">
        <v>57</v>
      </c>
      <c r="B25" t="b">
        <v>0</v>
      </c>
      <c r="D25" t="s">
        <v>58</v>
      </c>
      <c r="E25" t="s">
        <v>10</v>
      </c>
    </row>
    <row r="26" spans="1:8">
      <c r="A26" t="s">
        <v>59</v>
      </c>
      <c r="B26" t="b">
        <v>0</v>
      </c>
      <c r="D26" t="s">
        <v>60</v>
      </c>
      <c r="E26" t="s">
        <v>20</v>
      </c>
    </row>
    <row r="27" spans="1:8">
      <c r="A27" t="s">
        <v>61</v>
      </c>
      <c r="B27" t="b">
        <v>0</v>
      </c>
      <c r="D27" t="s">
        <v>62</v>
      </c>
      <c r="E27" t="s">
        <v>63</v>
      </c>
    </row>
    <row r="28" spans="1:8">
      <c r="A28" t="s">
        <v>64</v>
      </c>
      <c r="B28" t="b">
        <v>0</v>
      </c>
      <c r="D28" t="s">
        <v>65</v>
      </c>
      <c r="E28" t="s">
        <v>63</v>
      </c>
    </row>
    <row r="29" spans="1:8">
      <c r="A29" t="s">
        <v>66</v>
      </c>
      <c r="B29" t="b">
        <v>0</v>
      </c>
      <c r="D29" t="s">
        <v>67</v>
      </c>
      <c r="E29" t="s">
        <v>63</v>
      </c>
    </row>
    <row r="30" spans="1:8">
      <c r="A30" t="s">
        <v>68</v>
      </c>
      <c r="B30" t="b">
        <v>0</v>
      </c>
      <c r="D30" t="s">
        <v>69</v>
      </c>
      <c r="E30" t="s">
        <v>20</v>
      </c>
    </row>
    <row r="31" spans="1:8">
      <c r="A31" t="s">
        <v>70</v>
      </c>
      <c r="B31" t="b">
        <v>0</v>
      </c>
      <c r="D31" t="s">
        <v>71</v>
      </c>
      <c r="E31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H7" sqref="H7"/>
    </sheetView>
  </sheetViews>
  <sheetFormatPr defaultRowHeight="15"/>
  <sheetData/>
  <sortState ref="A2:D24">
    <sortCondition ref="B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T58"/>
  <sheetViews>
    <sheetView topLeftCell="A28" workbookViewId="0">
      <selection activeCell="A54" sqref="A54"/>
    </sheetView>
  </sheetViews>
  <sheetFormatPr defaultRowHeight="15"/>
  <sheetData>
    <row r="1" spans="1:17">
      <c r="A1" t="s">
        <v>111</v>
      </c>
      <c r="B1" t="s">
        <v>112</v>
      </c>
      <c r="D1" t="s">
        <v>111</v>
      </c>
      <c r="F1" t="s">
        <v>74</v>
      </c>
      <c r="I1" t="s">
        <v>111</v>
      </c>
      <c r="K1" t="s">
        <v>74</v>
      </c>
      <c r="N1" t="s">
        <v>111</v>
      </c>
      <c r="P1" t="s">
        <v>74</v>
      </c>
    </row>
    <row r="2" spans="1:17">
      <c r="A2" s="10" t="s">
        <v>4</v>
      </c>
      <c r="B2" s="10" t="s">
        <v>5</v>
      </c>
      <c r="D2" s="10" t="s">
        <v>4</v>
      </c>
      <c r="E2" s="10" t="s">
        <v>5</v>
      </c>
      <c r="F2" s="10" t="s">
        <v>4</v>
      </c>
      <c r="G2" s="10" t="s">
        <v>5</v>
      </c>
      <c r="I2" s="10" t="s">
        <v>4</v>
      </c>
      <c r="J2" s="10" t="s">
        <v>5</v>
      </c>
      <c r="K2" s="10" t="s">
        <v>4</v>
      </c>
      <c r="L2" s="10" t="s">
        <v>5</v>
      </c>
      <c r="N2" s="10" t="s">
        <v>4</v>
      </c>
      <c r="O2" s="10" t="s">
        <v>5</v>
      </c>
      <c r="P2" s="10" t="s">
        <v>4</v>
      </c>
      <c r="Q2" s="10" t="s">
        <v>5</v>
      </c>
    </row>
    <row r="3" spans="1:17">
      <c r="A3">
        <v>0</v>
      </c>
      <c r="B3">
        <v>1000</v>
      </c>
      <c r="D3">
        <v>0</v>
      </c>
      <c r="E3">
        <v>1000</v>
      </c>
      <c r="F3">
        <v>0</v>
      </c>
      <c r="G3">
        <v>1000</v>
      </c>
      <c r="I3">
        <v>0</v>
      </c>
      <c r="J3">
        <v>1000</v>
      </c>
      <c r="K3">
        <v>0</v>
      </c>
      <c r="L3">
        <v>1000</v>
      </c>
      <c r="N3">
        <v>0</v>
      </c>
      <c r="O3">
        <v>0.1</v>
      </c>
      <c r="P3">
        <v>0</v>
      </c>
      <c r="Q3">
        <v>0.25</v>
      </c>
    </row>
    <row r="4" spans="1:17">
      <c r="A4">
        <v>0</v>
      </c>
      <c r="B4">
        <v>0.1</v>
      </c>
      <c r="D4">
        <v>0</v>
      </c>
      <c r="E4">
        <v>0.1</v>
      </c>
      <c r="F4">
        <v>0.6</v>
      </c>
      <c r="G4">
        <v>0.7</v>
      </c>
      <c r="I4">
        <v>0</v>
      </c>
      <c r="J4">
        <v>1000</v>
      </c>
      <c r="K4">
        <v>0.6</v>
      </c>
      <c r="L4">
        <v>1000</v>
      </c>
      <c r="N4">
        <v>0</v>
      </c>
      <c r="O4">
        <v>0.3</v>
      </c>
      <c r="P4">
        <v>0</v>
      </c>
      <c r="Q4">
        <v>0.5</v>
      </c>
    </row>
    <row r="5" spans="1:17">
      <c r="A5">
        <v>0.1</v>
      </c>
      <c r="B5">
        <v>0.3</v>
      </c>
      <c r="D5">
        <v>0.1</v>
      </c>
      <c r="E5">
        <v>0.3</v>
      </c>
      <c r="F5">
        <v>0.7</v>
      </c>
      <c r="G5">
        <v>0.8</v>
      </c>
      <c r="I5">
        <v>0.1</v>
      </c>
      <c r="J5">
        <v>1000</v>
      </c>
      <c r="K5">
        <v>0.7</v>
      </c>
      <c r="L5">
        <v>1000</v>
      </c>
      <c r="N5">
        <v>0</v>
      </c>
      <c r="O5">
        <v>0.5</v>
      </c>
      <c r="P5">
        <v>0</v>
      </c>
      <c r="Q5">
        <v>0.7</v>
      </c>
    </row>
    <row r="6" spans="1:17">
      <c r="A6">
        <v>0.3</v>
      </c>
      <c r="B6">
        <v>0.5</v>
      </c>
      <c r="D6">
        <v>0.3</v>
      </c>
      <c r="E6">
        <v>0.5</v>
      </c>
      <c r="F6">
        <v>0.8</v>
      </c>
      <c r="G6">
        <v>0.9</v>
      </c>
      <c r="I6">
        <v>0.3</v>
      </c>
      <c r="J6">
        <v>1000</v>
      </c>
      <c r="K6">
        <v>0.8</v>
      </c>
      <c r="L6">
        <v>1000</v>
      </c>
      <c r="N6">
        <v>0</v>
      </c>
      <c r="O6">
        <v>0.7</v>
      </c>
      <c r="P6">
        <v>0</v>
      </c>
      <c r="Q6">
        <v>0.9</v>
      </c>
    </row>
    <row r="7" spans="1:17">
      <c r="A7">
        <v>0.5</v>
      </c>
      <c r="B7">
        <v>0.7</v>
      </c>
      <c r="D7">
        <v>0.5</v>
      </c>
      <c r="E7">
        <v>0.7</v>
      </c>
      <c r="F7">
        <v>0.9</v>
      </c>
      <c r="G7">
        <v>1000</v>
      </c>
      <c r="I7">
        <v>0.5</v>
      </c>
      <c r="J7">
        <v>1000</v>
      </c>
      <c r="K7">
        <v>0.9</v>
      </c>
      <c r="L7">
        <v>1000</v>
      </c>
      <c r="N7">
        <v>0</v>
      </c>
      <c r="O7">
        <v>0.9</v>
      </c>
      <c r="P7">
        <v>0</v>
      </c>
      <c r="Q7">
        <v>1000</v>
      </c>
    </row>
    <row r="8" spans="1:17">
      <c r="A8">
        <v>0.7</v>
      </c>
      <c r="B8">
        <v>1000</v>
      </c>
      <c r="D8">
        <v>0.7</v>
      </c>
      <c r="E8">
        <v>1000</v>
      </c>
      <c r="I8">
        <v>0.7</v>
      </c>
      <c r="J8">
        <v>1000</v>
      </c>
      <c r="N8">
        <v>0</v>
      </c>
      <c r="O8">
        <v>1000</v>
      </c>
    </row>
    <row r="10" spans="1:17">
      <c r="D10" t="s">
        <v>113</v>
      </c>
      <c r="I10" t="s">
        <v>114</v>
      </c>
      <c r="N10" t="s">
        <v>115</v>
      </c>
    </row>
    <row r="13" spans="1:17">
      <c r="D13" t="s">
        <v>116</v>
      </c>
    </row>
    <row r="14" spans="1:17">
      <c r="D14" s="10" t="s">
        <v>4</v>
      </c>
      <c r="E14" s="10" t="s">
        <v>5</v>
      </c>
    </row>
    <row r="15" spans="1:17">
      <c r="D15">
        <v>0</v>
      </c>
      <c r="E15">
        <v>1000</v>
      </c>
    </row>
    <row r="16" spans="1:17">
      <c r="D16">
        <v>0.5</v>
      </c>
      <c r="E16">
        <v>1000</v>
      </c>
    </row>
    <row r="17" spans="1:16">
      <c r="D17">
        <v>2</v>
      </c>
      <c r="E17">
        <v>1000</v>
      </c>
      <c r="I17">
        <v>416</v>
      </c>
      <c r="J17">
        <v>156</v>
      </c>
      <c r="K17" t="s">
        <v>94</v>
      </c>
    </row>
    <row r="18" spans="1:16">
      <c r="D18">
        <v>5</v>
      </c>
      <c r="E18">
        <v>1000</v>
      </c>
      <c r="I18">
        <v>416</v>
      </c>
      <c r="J18">
        <v>104</v>
      </c>
      <c r="K18" t="s">
        <v>96</v>
      </c>
    </row>
    <row r="19" spans="1:16">
      <c r="D19">
        <v>10</v>
      </c>
      <c r="E19">
        <v>1000</v>
      </c>
      <c r="I19">
        <v>416</v>
      </c>
      <c r="J19">
        <v>52</v>
      </c>
      <c r="K19" t="s">
        <v>95</v>
      </c>
    </row>
    <row r="20" spans="1:16">
      <c r="D20">
        <v>0</v>
      </c>
      <c r="E20">
        <v>0.5</v>
      </c>
      <c r="I20">
        <v>364</v>
      </c>
      <c r="J20">
        <v>208</v>
      </c>
      <c r="K20" t="s">
        <v>97</v>
      </c>
      <c r="N20">
        <v>364</v>
      </c>
      <c r="O20">
        <v>208</v>
      </c>
      <c r="P20" t="s">
        <v>97</v>
      </c>
    </row>
    <row r="21" spans="1:16">
      <c r="D21">
        <v>0</v>
      </c>
      <c r="E21">
        <v>2</v>
      </c>
      <c r="I21">
        <v>364</v>
      </c>
      <c r="J21">
        <v>156</v>
      </c>
      <c r="K21" t="s">
        <v>103</v>
      </c>
      <c r="N21">
        <v>364</v>
      </c>
      <c r="O21">
        <v>156</v>
      </c>
      <c r="P21" t="s">
        <v>103</v>
      </c>
    </row>
    <row r="22" spans="1:16">
      <c r="D22">
        <v>0</v>
      </c>
      <c r="E22">
        <v>5</v>
      </c>
      <c r="I22">
        <v>364</v>
      </c>
      <c r="J22">
        <v>104</v>
      </c>
      <c r="K22" t="s">
        <v>98</v>
      </c>
      <c r="N22">
        <v>364</v>
      </c>
      <c r="O22">
        <v>104</v>
      </c>
      <c r="P22" t="s">
        <v>98</v>
      </c>
    </row>
    <row r="23" spans="1:16">
      <c r="D23">
        <v>0</v>
      </c>
      <c r="E23">
        <v>10</v>
      </c>
      <c r="I23">
        <v>364</v>
      </c>
      <c r="J23">
        <v>52</v>
      </c>
      <c r="K23" t="s">
        <v>99</v>
      </c>
      <c r="N23">
        <v>364</v>
      </c>
      <c r="O23">
        <v>52</v>
      </c>
      <c r="P23" t="s">
        <v>99</v>
      </c>
    </row>
    <row r="24" spans="1:16">
      <c r="I24">
        <v>312</v>
      </c>
      <c r="J24">
        <v>208</v>
      </c>
      <c r="K24" t="s">
        <v>100</v>
      </c>
      <c r="N24">
        <v>312</v>
      </c>
      <c r="O24">
        <v>208</v>
      </c>
      <c r="P24" t="s">
        <v>100</v>
      </c>
    </row>
    <row r="25" spans="1:16">
      <c r="A25" t="s">
        <v>117</v>
      </c>
      <c r="B25" t="s">
        <v>119</v>
      </c>
      <c r="C25" t="s">
        <v>118</v>
      </c>
      <c r="I25">
        <v>312</v>
      </c>
      <c r="J25">
        <v>156</v>
      </c>
      <c r="K25" t="s">
        <v>104</v>
      </c>
      <c r="N25">
        <v>312</v>
      </c>
      <c r="O25">
        <v>156</v>
      </c>
      <c r="P25" t="s">
        <v>104</v>
      </c>
    </row>
    <row r="26" spans="1:16">
      <c r="A26" s="10" t="s">
        <v>4</v>
      </c>
      <c r="B26" s="10" t="s">
        <v>5</v>
      </c>
      <c r="C26" s="10" t="s">
        <v>4</v>
      </c>
      <c r="D26" s="10" t="s">
        <v>5</v>
      </c>
      <c r="I26">
        <v>312</v>
      </c>
      <c r="J26">
        <v>104</v>
      </c>
      <c r="K26" t="s">
        <v>101</v>
      </c>
      <c r="N26">
        <v>312</v>
      </c>
      <c r="O26">
        <v>104</v>
      </c>
      <c r="P26" t="s">
        <v>101</v>
      </c>
    </row>
    <row r="27" spans="1:16">
      <c r="A27">
        <v>0.1</v>
      </c>
      <c r="B27">
        <v>1000</v>
      </c>
      <c r="C27">
        <v>0.4</v>
      </c>
      <c r="D27">
        <v>1000</v>
      </c>
      <c r="I27">
        <v>312</v>
      </c>
      <c r="J27">
        <v>52</v>
      </c>
      <c r="K27" t="s">
        <v>102</v>
      </c>
      <c r="N27">
        <v>312</v>
      </c>
      <c r="O27">
        <v>52</v>
      </c>
      <c r="P27" t="s">
        <v>102</v>
      </c>
    </row>
    <row r="28" spans="1:16">
      <c r="A28">
        <v>0.3</v>
      </c>
      <c r="B28">
        <v>1000</v>
      </c>
      <c r="C28">
        <v>0.6</v>
      </c>
      <c r="D28">
        <v>1000</v>
      </c>
      <c r="I28">
        <v>260</v>
      </c>
      <c r="J28">
        <v>156</v>
      </c>
      <c r="K28" t="s">
        <v>105</v>
      </c>
      <c r="N28">
        <v>260</v>
      </c>
      <c r="O28">
        <v>156</v>
      </c>
      <c r="P28" t="s">
        <v>105</v>
      </c>
    </row>
    <row r="29" spans="1:16">
      <c r="A29">
        <v>0.5</v>
      </c>
      <c r="B29">
        <v>1000</v>
      </c>
      <c r="C29">
        <v>0.7</v>
      </c>
      <c r="D29">
        <v>1000</v>
      </c>
      <c r="I29">
        <v>260</v>
      </c>
      <c r="J29">
        <v>104</v>
      </c>
      <c r="K29" t="s">
        <v>106</v>
      </c>
      <c r="N29">
        <v>260</v>
      </c>
      <c r="O29">
        <v>104</v>
      </c>
      <c r="P29" t="s">
        <v>106</v>
      </c>
    </row>
    <row r="30" spans="1:16">
      <c r="A30">
        <v>0.7</v>
      </c>
      <c r="B30">
        <v>1000</v>
      </c>
      <c r="C30">
        <v>0.8</v>
      </c>
      <c r="D30">
        <v>1000</v>
      </c>
      <c r="I30">
        <v>260</v>
      </c>
      <c r="J30">
        <v>52</v>
      </c>
      <c r="K30" t="s">
        <v>107</v>
      </c>
      <c r="N30">
        <v>260</v>
      </c>
      <c r="O30">
        <v>52</v>
      </c>
      <c r="P30" t="s">
        <v>107</v>
      </c>
    </row>
    <row r="31" spans="1:16">
      <c r="A31">
        <v>0</v>
      </c>
      <c r="B31">
        <v>0.3</v>
      </c>
      <c r="C31">
        <v>0.9</v>
      </c>
      <c r="D31">
        <v>1000</v>
      </c>
      <c r="I31">
        <v>208</v>
      </c>
      <c r="J31">
        <v>104</v>
      </c>
      <c r="K31" t="s">
        <v>108</v>
      </c>
      <c r="N31">
        <v>208</v>
      </c>
      <c r="O31">
        <v>104</v>
      </c>
      <c r="P31" t="s">
        <v>108</v>
      </c>
    </row>
    <row r="32" spans="1:16">
      <c r="A32">
        <v>0</v>
      </c>
      <c r="B32">
        <v>0.5</v>
      </c>
      <c r="C32">
        <v>0</v>
      </c>
      <c r="D32">
        <v>0.4</v>
      </c>
      <c r="I32">
        <v>208</v>
      </c>
      <c r="J32">
        <v>52</v>
      </c>
      <c r="K32" t="s">
        <v>110</v>
      </c>
      <c r="N32">
        <v>208</v>
      </c>
      <c r="O32">
        <v>52</v>
      </c>
      <c r="P32" t="s">
        <v>110</v>
      </c>
    </row>
    <row r="33" spans="1:16">
      <c r="A33">
        <v>0</v>
      </c>
      <c r="B33">
        <v>0.7</v>
      </c>
      <c r="C33">
        <v>0</v>
      </c>
      <c r="D33">
        <v>0.6</v>
      </c>
      <c r="I33">
        <v>156</v>
      </c>
      <c r="J33">
        <v>52</v>
      </c>
      <c r="K33" t="s">
        <v>109</v>
      </c>
      <c r="N33">
        <v>156</v>
      </c>
      <c r="O33">
        <v>52</v>
      </c>
      <c r="P33" t="s">
        <v>109</v>
      </c>
    </row>
    <row r="34" spans="1:16">
      <c r="A34">
        <v>0</v>
      </c>
      <c r="B34">
        <v>1</v>
      </c>
      <c r="C34">
        <v>0</v>
      </c>
      <c r="D34">
        <v>0.8</v>
      </c>
    </row>
    <row r="35" spans="1:16">
      <c r="A35">
        <v>0</v>
      </c>
      <c r="B35">
        <v>1000</v>
      </c>
      <c r="C35">
        <v>0</v>
      </c>
      <c r="D35">
        <v>0.9</v>
      </c>
    </row>
    <row r="36" spans="1:16">
      <c r="C36">
        <v>0</v>
      </c>
      <c r="D36">
        <v>1000</v>
      </c>
      <c r="I36">
        <v>416</v>
      </c>
      <c r="J36">
        <v>156</v>
      </c>
      <c r="K36" t="s">
        <v>94</v>
      </c>
    </row>
    <row r="37" spans="1:16">
      <c r="I37">
        <v>416</v>
      </c>
      <c r="J37">
        <v>104</v>
      </c>
      <c r="K37" t="s">
        <v>96</v>
      </c>
    </row>
    <row r="38" spans="1:16">
      <c r="I38">
        <v>416</v>
      </c>
      <c r="J38">
        <v>52</v>
      </c>
      <c r="K38" t="s">
        <v>95</v>
      </c>
    </row>
    <row r="39" spans="1:16">
      <c r="I39">
        <v>364</v>
      </c>
      <c r="J39">
        <v>208</v>
      </c>
      <c r="K39" t="s">
        <v>97</v>
      </c>
    </row>
    <row r="40" spans="1:16">
      <c r="I40">
        <v>364</v>
      </c>
      <c r="J40">
        <v>156</v>
      </c>
      <c r="K40" t="s">
        <v>103</v>
      </c>
    </row>
    <row r="41" spans="1:16">
      <c r="I41">
        <v>364</v>
      </c>
      <c r="J41">
        <v>104</v>
      </c>
      <c r="K41" t="s">
        <v>98</v>
      </c>
    </row>
    <row r="42" spans="1:16">
      <c r="I42">
        <v>364</v>
      </c>
      <c r="J42">
        <v>52</v>
      </c>
      <c r="K42" t="s">
        <v>99</v>
      </c>
    </row>
    <row r="43" spans="1:16">
      <c r="I43">
        <v>312</v>
      </c>
      <c r="J43">
        <v>208</v>
      </c>
      <c r="K43" t="s">
        <v>100</v>
      </c>
    </row>
    <row r="44" spans="1:16">
      <c r="I44">
        <v>312</v>
      </c>
      <c r="J44">
        <v>156</v>
      </c>
      <c r="K44" t="s">
        <v>104</v>
      </c>
    </row>
    <row r="45" spans="1:16">
      <c r="I45">
        <v>312</v>
      </c>
      <c r="J45">
        <v>104</v>
      </c>
      <c r="K45" t="s">
        <v>101</v>
      </c>
    </row>
    <row r="46" spans="1:16">
      <c r="I46">
        <v>312</v>
      </c>
      <c r="J46">
        <v>52</v>
      </c>
      <c r="K46" t="s">
        <v>102</v>
      </c>
    </row>
    <row r="47" spans="1:16">
      <c r="I47">
        <v>260</v>
      </c>
      <c r="J47">
        <v>156</v>
      </c>
      <c r="K47" t="s">
        <v>105</v>
      </c>
    </row>
    <row r="48" spans="1:16">
      <c r="I48">
        <v>260</v>
      </c>
      <c r="J48">
        <v>104</v>
      </c>
      <c r="K48" t="s">
        <v>106</v>
      </c>
    </row>
    <row r="49" spans="1:20">
      <c r="I49">
        <v>260</v>
      </c>
      <c r="J49">
        <v>52</v>
      </c>
      <c r="K49" t="s">
        <v>107</v>
      </c>
    </row>
    <row r="52" spans="1:20">
      <c r="A52" s="10" t="s">
        <v>4</v>
      </c>
      <c r="B52" s="10" t="s">
        <v>5</v>
      </c>
      <c r="C52" s="10" t="s">
        <v>4</v>
      </c>
      <c r="D52" s="10" t="s">
        <v>5</v>
      </c>
      <c r="E52" s="10" t="s">
        <v>4</v>
      </c>
      <c r="F52" s="10" t="s">
        <v>5</v>
      </c>
      <c r="G52" s="10" t="s">
        <v>4</v>
      </c>
      <c r="H52" s="10" t="s">
        <v>5</v>
      </c>
      <c r="I52" s="10" t="s">
        <v>4</v>
      </c>
      <c r="J52" s="10" t="s">
        <v>5</v>
      </c>
      <c r="K52" s="10" t="s">
        <v>4</v>
      </c>
      <c r="L52" s="10" t="s">
        <v>5</v>
      </c>
      <c r="M52" s="10" t="s">
        <v>4</v>
      </c>
      <c r="N52" s="10" t="s">
        <v>5</v>
      </c>
      <c r="O52" s="10" t="s">
        <v>4</v>
      </c>
      <c r="P52" s="10" t="s">
        <v>5</v>
      </c>
      <c r="Q52" s="10" t="s">
        <v>4</v>
      </c>
      <c r="R52" s="10" t="s">
        <v>5</v>
      </c>
      <c r="S52" s="10" t="s">
        <v>4</v>
      </c>
      <c r="T52" s="10" t="s">
        <v>5</v>
      </c>
    </row>
    <row r="53" spans="1:20">
      <c r="A53">
        <v>0.05</v>
      </c>
      <c r="B53">
        <v>1000</v>
      </c>
      <c r="C53">
        <v>0.5</v>
      </c>
      <c r="D53">
        <v>1000</v>
      </c>
      <c r="I53">
        <v>0.2</v>
      </c>
      <c r="J53">
        <v>1000</v>
      </c>
      <c r="K53" s="1"/>
      <c r="L53" s="1"/>
    </row>
    <row r="54" spans="1:20">
      <c r="A54">
        <v>0.1</v>
      </c>
      <c r="B54">
        <v>1000</v>
      </c>
      <c r="C54">
        <v>0.6</v>
      </c>
      <c r="D54">
        <v>1000</v>
      </c>
      <c r="I54">
        <v>0.3</v>
      </c>
      <c r="J54">
        <v>1000</v>
      </c>
    </row>
    <row r="55" spans="1:20">
      <c r="A55">
        <v>0.3</v>
      </c>
      <c r="B55">
        <v>1000</v>
      </c>
      <c r="C55">
        <v>0.7</v>
      </c>
      <c r="D55">
        <v>1000</v>
      </c>
      <c r="I55">
        <v>0.4</v>
      </c>
      <c r="J55">
        <v>1000</v>
      </c>
    </row>
    <row r="56" spans="1:20">
      <c r="A56">
        <v>0.5</v>
      </c>
      <c r="B56">
        <v>1000</v>
      </c>
      <c r="C56">
        <v>0.8</v>
      </c>
      <c r="D56">
        <v>1000</v>
      </c>
      <c r="I56">
        <v>0.5</v>
      </c>
      <c r="J56">
        <v>1000</v>
      </c>
    </row>
    <row r="57" spans="1:20">
      <c r="A57">
        <v>0.7</v>
      </c>
      <c r="B57">
        <v>1000</v>
      </c>
      <c r="C57">
        <v>0.9</v>
      </c>
      <c r="D57">
        <v>1000</v>
      </c>
      <c r="I57">
        <v>0.6</v>
      </c>
      <c r="J57">
        <v>1000</v>
      </c>
    </row>
    <row r="58" spans="1:20">
      <c r="I58">
        <v>0.7</v>
      </c>
      <c r="J58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WFA</vt:lpstr>
      <vt:lpstr>Statement</vt:lpstr>
      <vt:lpstr>Back-test</vt:lpstr>
      <vt:lpstr>Hidden Settings</vt:lpstr>
      <vt:lpstr>Sorting</vt:lpstr>
      <vt:lpstr>Experiments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maladziashyn</dc:creator>
  <cp:lastModifiedBy>Raman Maladziashyn</cp:lastModifiedBy>
  <dcterms:created xsi:type="dcterms:W3CDTF">2020-09-21T11:33:14Z</dcterms:created>
  <dcterms:modified xsi:type="dcterms:W3CDTF">2022-07-21T21:45:55Z</dcterms:modified>
</cp:coreProperties>
</file>