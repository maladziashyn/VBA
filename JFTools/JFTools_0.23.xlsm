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075" yWindow="3075" windowWidth="21600" windowHeight="11385" tabRatio="859"/>
  </bookViews>
  <sheets>
    <sheet name="WFA" sheetId="21" r:id="rId1"/>
    <sheet name="Statement" sheetId="31" r:id="rId2"/>
    <sheet name="Back-test" sheetId="18" state="hidden" r:id="rId3"/>
    <sheet name="Hidden Settings" sheetId="20" state="hidden" r:id="rId4"/>
    <sheet name="Sorting" sheetId="28" state="hidden" r:id="rId5"/>
    <sheet name="Experiments" sheetId="30" state="hidden" r:id="rId6"/>
  </sheets>
  <functionGroups/>
  <definedNames>
    <definedName name="_xlnm._FilterDatabase" localSheetId="4" hidden="1">Sorting!#REF!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0"/>
  <c r="J11"/>
  <c r="J10"/>
  <c r="J9"/>
  <c r="J8"/>
  <c r="J7"/>
  <c r="J6"/>
  <c r="J5"/>
  <c r="J4"/>
  <c r="I12"/>
  <c r="I11"/>
  <c r="I10"/>
  <c r="I9"/>
  <c r="I8"/>
  <c r="I7"/>
  <c r="I6"/>
  <c r="I5"/>
  <c r="I4"/>
  <c r="J3"/>
  <c r="I3"/>
</calcChain>
</file>

<file path=xl/sharedStrings.xml><?xml version="1.0" encoding="utf-8"?>
<sst xmlns="http://schemas.openxmlformats.org/spreadsheetml/2006/main" count="272" uniqueCount="152">
  <si>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</si>
  <si>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</si>
  <si>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</si>
  <si>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</si>
  <si>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</si>
  <si>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</si>
  <si>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</si>
  <si>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</si>
  <si>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</si>
  <si>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</si>
  <si>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</si>
  <si>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</si>
  <si>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</si>
  <si>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</si>
  <si>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</si>
  <si>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</si>
  <si>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</si>
  <si>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</si>
  <si>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</si>
  <si>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</si>
  <si>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</si>
  <si>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</si>
  <si>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</si>
  <si>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</si>
  <si>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</si>
  <si>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</si>
  <si>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</si>
  <si>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</si>
  <si>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</si>
  <si>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</si>
  <si>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</si>
  <si>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</si>
  <si>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</si>
  <si>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</si>
  <si>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</si>
  <si>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</si>
  <si>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</si>
  <si>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</si>
  <si>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</si>
  <si>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</si>
  <si>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</si>
  <si>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</si>
  <si>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</si>
  <si>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</si>
  <si>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</si>
  <si>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</si>
  <si>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</si>
  <si>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</si>
  <si>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</si>
  <si>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</si>
  <si>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</si>
  <si>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</si>
  <si>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</si>
  <si>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</si>
  <si>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</si>
  <si>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</si>
  <si>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</si>
  <si>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</si>
  <si>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</si>
  <si>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</si>
  <si>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</si>
  <si>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</si>
  <si>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</si>
  <si>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</si>
  <si>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</si>
  <si>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</si>
  <si>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</si>
  <si>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</si>
  <si>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</si>
  <si>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</si>
  <si>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</si>
  <si>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</si>
  <si>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</si>
  <si>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</si>
  <si>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</si>
  <si>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</si>
  <si>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</si>
  <si>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</si>
  <si>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</si>
  <si>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</si>
  <si>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</si>
  <si>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</si>
  <si>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</si>
  <si>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</si>
  <si>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</si>
  <si>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</si>
  <si>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</si>
  <si>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</si>
  <si>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</si>
  <si>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</si>
  <si>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</si>
  <si>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</si>
  <si>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</si>
  <si>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</si>
  <si>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</si>
  <si>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</si>
  <si>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</si>
  <si>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</si>
  <si>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</si>
  <si>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</si>
  <si>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</si>
  <si>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</si>
  <si>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</si>
  <si>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</si>
  <si>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</si>
  <si>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</si>
  <si>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</si>
  <si>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</si>
  <si>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</si>
  <si>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</si>
  <si>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</si>
  <si>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</si>
  <si>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</si>
  <si>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</si>
  <si>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</si>
  <si>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</si>
  <si>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</si>
  <si>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</si>
  <si>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</si>
  <si>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</si>
  <si>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</si>
  <si>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</si>
  <si>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</si>
  <si>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</si>
  <si>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</si>
  <si>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</si>
  <si>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</si>
  <si>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</si>
  <si>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</si>
  <si>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</si>
  <si>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</si>
  <si>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</si>
  <si>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</si>
  <si>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</si>
  <si>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</si>
  <si>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</si>
  <si>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</si>
  <si>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</si>
  <si>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</si>
  <si>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</si>
  <si>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</si>
  <si>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</si>
  <si>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</si>
  <si>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</si>
  <si>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</si>
  <si>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</si>
  <si>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C:\RM_local\DC-live-Moderate\report-dukascopy-demo\funds-history</t>
  </si>
  <si>
    <t>C:\RM_local\DC-live-Moderate\report-dukascopy-demo\portfolio-summary</t>
  </si>
  <si>
    <t>C:\RM_local\DC-live-Moderate\report-dukascopy-demo\positions-close</t>
  </si>
  <si>
    <t>C:\RM_local\DC-live-Moderate\report-dukascopy-demo</t>
  </si>
  <si>
    <t>C:\RM_local\target</t>
  </si>
  <si>
    <t>C:\RM_local\</t>
  </si>
</sst>
</file>

<file path=xl/styles.xml><?xml version="1.0" encoding="utf-8"?>
<styleSheet xmlns="http://schemas.openxmlformats.org/spreadsheetml/2006/main">
  <numFmts count="1">
    <numFmt numFmtId="164" formatCode="dd/mm/yyyy;@"/>
  </numFmts>
  <fonts count="1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26"/>
      <color rgb="FF0066CC"/>
      <name val="Calibri"/>
      <family val="2"/>
      <charset val="238"/>
      <scheme val="minor"/>
    </font>
    <font>
      <sz val="11"/>
      <color rgb="FF0066CC"/>
      <name val="Calibri"/>
      <family val="2"/>
      <charset val="238"/>
      <scheme val="minor"/>
    </font>
    <font>
      <sz val="9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94"/>
  <sheetViews>
    <sheetView tabSelected="1" workbookViewId="0"/>
  </sheetViews>
  <sheetFormatPr defaultRowHeight="15"/>
  <cols>
    <col min="24" max="24" width="5" customWidth="1"/>
    <col min="25" max="27" width="12.5703125" customWidth="1"/>
    <col min="28" max="28" width="11.28515625" customWidth="1"/>
    <col min="29" max="29" width="28.28515625" bestFit="1" customWidth="1"/>
    <col min="30" max="30" width="15.7109375" customWidth="1"/>
    <col min="32" max="32" width="9.140625" customWidth="1"/>
  </cols>
  <sheetData>
    <row r="1" spans="1:30">
      <c r="A1" s="1"/>
      <c r="B1" s="1"/>
      <c r="C1" s="1"/>
      <c r="D1" s="1"/>
      <c r="E1" s="1"/>
      <c r="F1" s="1"/>
      <c r="Y1" s="19" t="s">
        <v>91</v>
      </c>
      <c r="Z1" s="19"/>
      <c r="AA1" s="19"/>
      <c r="AC1" s="5" t="s">
        <v>88</v>
      </c>
    </row>
    <row r="2" spans="1:30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7">
        <v>39083</v>
      </c>
    </row>
    <row r="3" spans="1:30">
      <c r="A3" s="8"/>
      <c r="B3" s="8"/>
      <c r="C3" s="8"/>
      <c r="D3" s="8"/>
      <c r="E3" s="8"/>
      <c r="F3" s="8"/>
      <c r="Y3">
        <v>416</v>
      </c>
      <c r="Z3">
        <v>156</v>
      </c>
      <c r="AA3" t="s">
        <v>94</v>
      </c>
      <c r="AC3" t="s">
        <v>1</v>
      </c>
      <c r="AD3" s="17">
        <v>44703</v>
      </c>
    </row>
    <row r="4" spans="1:30">
      <c r="A4" s="8"/>
      <c r="B4" s="8"/>
      <c r="C4" s="8"/>
      <c r="D4" s="8"/>
      <c r="E4" s="8"/>
      <c r="F4" s="8"/>
      <c r="AC4" t="s">
        <v>2</v>
      </c>
      <c r="AD4" s="18">
        <v>0.15</v>
      </c>
    </row>
    <row r="5" spans="1:30">
      <c r="A5" s="8"/>
      <c r="B5" s="8"/>
      <c r="C5" s="8"/>
      <c r="D5" s="8"/>
      <c r="E5" s="8"/>
      <c r="F5" s="8"/>
      <c r="AC5" s="6" t="s">
        <v>3</v>
      </c>
      <c r="AD5" s="7">
        <v>1E-4</v>
      </c>
    </row>
    <row r="6" spans="1:30">
      <c r="A6" s="1"/>
      <c r="B6" s="1"/>
      <c r="C6" s="1"/>
      <c r="D6" s="1"/>
      <c r="E6" s="1"/>
      <c r="F6" s="1"/>
      <c r="AC6" s="5" t="s">
        <v>89</v>
      </c>
    </row>
    <row r="7" spans="1:30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AC7" t="s">
        <v>150</v>
      </c>
    </row>
    <row r="8" spans="1:30">
      <c r="A8" s="8"/>
      <c r="W8" s="8"/>
      <c r="AC8" s="5" t="s">
        <v>84</v>
      </c>
    </row>
    <row r="9" spans="1:30">
      <c r="A9" s="8"/>
      <c r="W9" s="8"/>
      <c r="AC9" t="s">
        <v>151</v>
      </c>
    </row>
    <row r="10" spans="1:30">
      <c r="A10" s="8"/>
      <c r="W10" s="8"/>
    </row>
    <row r="11" spans="1:30">
      <c r="A11" s="8"/>
      <c r="W11" s="8"/>
    </row>
    <row r="13" spans="1:30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30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AB14" s="2"/>
    </row>
    <row r="15" spans="1:30">
      <c r="C15">
        <v>0.05</v>
      </c>
      <c r="D15">
        <v>1000</v>
      </c>
      <c r="E15">
        <v>0.6</v>
      </c>
      <c r="F15">
        <v>1000</v>
      </c>
      <c r="K15">
        <v>0.4</v>
      </c>
      <c r="L15">
        <v>1000</v>
      </c>
      <c r="M15" s="1"/>
      <c r="N15" s="1"/>
    </row>
    <row r="16" spans="1:30">
      <c r="E16">
        <v>0.7</v>
      </c>
      <c r="F16">
        <v>1000</v>
      </c>
      <c r="K16">
        <v>0.5</v>
      </c>
      <c r="L16">
        <v>1000</v>
      </c>
    </row>
    <row r="17" spans="5:12">
      <c r="E17">
        <v>0.8</v>
      </c>
      <c r="F17">
        <v>1000</v>
      </c>
      <c r="K17">
        <v>0.6</v>
      </c>
      <c r="L17">
        <v>1000</v>
      </c>
    </row>
    <row r="18" spans="5:12">
      <c r="E18">
        <v>0.9</v>
      </c>
      <c r="F18">
        <v>1000</v>
      </c>
      <c r="K18">
        <v>0.7</v>
      </c>
      <c r="L18">
        <v>1000</v>
      </c>
    </row>
    <row r="21" spans="5:12">
      <c r="G21" s="4"/>
      <c r="H21" s="4"/>
      <c r="K21" s="4"/>
    </row>
    <row r="22" spans="5:12">
      <c r="G22" s="11"/>
      <c r="H22" s="11"/>
      <c r="K22" s="11"/>
      <c r="L22" s="11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activeCell="C2" sqref="C2"/>
    </sheetView>
  </sheetViews>
  <sheetFormatPr defaultRowHeight="15"/>
  <cols>
    <col min="1" max="1" width="33.42578125" customWidth="1"/>
    <col min="2" max="2" width="12.140625" customWidth="1"/>
    <col min="3" max="3" width="70.140625" bestFit="1" customWidth="1"/>
  </cols>
  <sheetData>
    <row r="1" spans="1:3">
      <c r="A1" s="20" t="s">
        <v>144</v>
      </c>
      <c r="B1" s="20"/>
      <c r="C1" s="20"/>
    </row>
    <row r="2" spans="1:3">
      <c r="A2" s="2" t="s">
        <v>141</v>
      </c>
      <c r="C2" t="s">
        <v>146</v>
      </c>
    </row>
    <row r="3" spans="1:3">
      <c r="A3" s="2" t="s">
        <v>142</v>
      </c>
      <c r="C3" t="s">
        <v>147</v>
      </c>
    </row>
    <row r="4" spans="1:3">
      <c r="A4" s="2" t="s">
        <v>143</v>
      </c>
      <c r="C4" t="s">
        <v>148</v>
      </c>
    </row>
    <row r="5" spans="1:3">
      <c r="A5" s="2"/>
    </row>
    <row r="6" spans="1:3">
      <c r="A6" s="20" t="s">
        <v>145</v>
      </c>
      <c r="B6" s="20"/>
      <c r="C6" s="20"/>
    </row>
    <row r="7" spans="1:3">
      <c r="A7" s="2" t="s">
        <v>89</v>
      </c>
      <c r="C7" t="s">
        <v>149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12"/>
  <sheetViews>
    <sheetView workbookViewId="0">
      <selection activeCell="B1" sqref="B1"/>
    </sheetView>
  </sheetViews>
  <sheetFormatPr defaultRowHeight="1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>
      <c r="A1" s="16"/>
      <c r="B1" s="13" t="s">
        <v>132</v>
      </c>
      <c r="C1" s="16"/>
      <c r="E1" s="13" t="s">
        <v>138</v>
      </c>
      <c r="G1" s="21" t="s">
        <v>137</v>
      </c>
      <c r="H1" s="21"/>
      <c r="I1" s="21"/>
      <c r="J1" s="21"/>
      <c r="K1" s="21"/>
      <c r="L1" s="21"/>
      <c r="M1" s="21"/>
      <c r="N1" s="21"/>
      <c r="O1" s="21"/>
    </row>
    <row r="2" spans="1:15">
      <c r="A2" t="s">
        <v>120</v>
      </c>
      <c r="B2" t="s">
        <v>139</v>
      </c>
      <c r="G2" s="14" t="s">
        <v>123</v>
      </c>
      <c r="H2" s="15" t="s">
        <v>124</v>
      </c>
      <c r="I2" s="15" t="s">
        <v>125</v>
      </c>
      <c r="J2" s="15" t="s">
        <v>126</v>
      </c>
      <c r="K2" s="15" t="s">
        <v>127</v>
      </c>
      <c r="L2" s="14" t="s">
        <v>128</v>
      </c>
      <c r="M2" s="14" t="s">
        <v>129</v>
      </c>
      <c r="N2" s="14" t="s">
        <v>130</v>
      </c>
    </row>
    <row r="3" spans="1:15">
      <c r="A3" t="s">
        <v>133</v>
      </c>
      <c r="B3" t="s">
        <v>140</v>
      </c>
    </row>
    <row r="4" spans="1:15">
      <c r="A4" t="s">
        <v>121</v>
      </c>
      <c r="B4" s="12">
        <v>44116</v>
      </c>
    </row>
    <row r="5" spans="1:15">
      <c r="A5" t="s">
        <v>122</v>
      </c>
      <c r="B5" s="12">
        <v>44262</v>
      </c>
    </row>
    <row r="6" spans="1:15">
      <c r="A6" t="s">
        <v>136</v>
      </c>
      <c r="B6" s="2">
        <v>450</v>
      </c>
    </row>
    <row r="7" spans="1:15">
      <c r="B7" s="2"/>
    </row>
    <row r="9" spans="1:15">
      <c r="A9" s="16"/>
      <c r="B9" s="13" t="s">
        <v>131</v>
      </c>
      <c r="C9" s="16"/>
    </row>
    <row r="10" spans="1:15">
      <c r="A10" t="s">
        <v>134</v>
      </c>
    </row>
    <row r="12" spans="1:15">
      <c r="A12" t="s">
        <v>135</v>
      </c>
    </row>
  </sheetData>
  <mergeCells count="1">
    <mergeCell ref="G1:O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0"/>
  <dimension ref="A1:J31"/>
  <sheetViews>
    <sheetView workbookViewId="0">
      <selection activeCell="C19" sqref="C19"/>
    </sheetView>
  </sheetViews>
  <sheetFormatPr defaultRowHeight="1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>
      <c r="A2" t="s">
        <v>8</v>
      </c>
      <c r="B2" t="b">
        <v>1</v>
      </c>
      <c r="D2" t="s">
        <v>9</v>
      </c>
      <c r="E2" t="s">
        <v>10</v>
      </c>
      <c r="G2" s="4" t="s">
        <v>81</v>
      </c>
      <c r="H2" t="b">
        <v>0</v>
      </c>
    </row>
    <row r="3" spans="1:10">
      <c r="A3" t="s">
        <v>11</v>
      </c>
      <c r="B3" t="b">
        <v>1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1</v>
      </c>
      <c r="I7" t="b">
        <f>IF($H$1=10,TRUE, FALSE)</f>
        <v>0</v>
      </c>
      <c r="J7" t="b">
        <f>IF($H$1=11,TRUE, FALSE)</f>
        <v>0</v>
      </c>
    </row>
    <row r="8" spans="1:10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>
      <c r="A13" t="s">
        <v>33</v>
      </c>
      <c r="B13" t="b">
        <v>0</v>
      </c>
      <c r="D13" t="s">
        <v>34</v>
      </c>
      <c r="E13" t="s">
        <v>17</v>
      </c>
    </row>
    <row r="14" spans="1:10">
      <c r="A14" t="s">
        <v>35</v>
      </c>
      <c r="B14" t="b">
        <v>0</v>
      </c>
      <c r="D14" t="s">
        <v>36</v>
      </c>
      <c r="E14" t="s">
        <v>10</v>
      </c>
    </row>
    <row r="15" spans="1:10">
      <c r="A15" t="s">
        <v>37</v>
      </c>
      <c r="B15" t="b">
        <v>0</v>
      </c>
      <c r="D15" t="s">
        <v>38</v>
      </c>
      <c r="E15" t="s">
        <v>17</v>
      </c>
    </row>
    <row r="16" spans="1:10">
      <c r="A16" t="s">
        <v>39</v>
      </c>
      <c r="B16" t="b">
        <v>0</v>
      </c>
      <c r="D16" t="s">
        <v>40</v>
      </c>
      <c r="E16" t="s">
        <v>20</v>
      </c>
    </row>
    <row r="17" spans="1:8">
      <c r="A17" t="s">
        <v>41</v>
      </c>
      <c r="B17" t="b">
        <v>0</v>
      </c>
      <c r="D17" t="s">
        <v>42</v>
      </c>
      <c r="E17" t="s">
        <v>17</v>
      </c>
    </row>
    <row r="18" spans="1:8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1</v>
      </c>
    </row>
    <row r="19" spans="1:8">
      <c r="A19" t="s">
        <v>45</v>
      </c>
      <c r="B19" t="b">
        <v>0</v>
      </c>
      <c r="D19" t="s">
        <v>46</v>
      </c>
      <c r="E19" t="s">
        <v>10</v>
      </c>
    </row>
    <row r="20" spans="1:8">
      <c r="A20" t="s">
        <v>47</v>
      </c>
      <c r="B20" t="b">
        <v>0</v>
      </c>
      <c r="D20" t="s">
        <v>48</v>
      </c>
      <c r="E20" t="s">
        <v>10</v>
      </c>
    </row>
    <row r="21" spans="1:8">
      <c r="A21" t="s">
        <v>49</v>
      </c>
      <c r="B21" t="b">
        <v>0</v>
      </c>
      <c r="D21" t="s">
        <v>50</v>
      </c>
      <c r="E21" t="s">
        <v>17</v>
      </c>
    </row>
    <row r="22" spans="1:8">
      <c r="A22" t="s">
        <v>51</v>
      </c>
      <c r="B22" t="b">
        <v>0</v>
      </c>
      <c r="D22" t="s">
        <v>52</v>
      </c>
      <c r="E22" t="s">
        <v>20</v>
      </c>
    </row>
    <row r="23" spans="1:8">
      <c r="A23" t="s">
        <v>53</v>
      </c>
      <c r="B23" t="b">
        <v>0</v>
      </c>
      <c r="D23" t="s">
        <v>54</v>
      </c>
      <c r="E23" t="s">
        <v>10</v>
      </c>
    </row>
    <row r="24" spans="1:8">
      <c r="A24" t="s">
        <v>55</v>
      </c>
      <c r="B24" t="b">
        <v>0</v>
      </c>
      <c r="D24" t="s">
        <v>56</v>
      </c>
      <c r="E24" t="s">
        <v>10</v>
      </c>
    </row>
    <row r="25" spans="1:8">
      <c r="A25" t="s">
        <v>57</v>
      </c>
      <c r="B25" t="b">
        <v>0</v>
      </c>
      <c r="D25" t="s">
        <v>58</v>
      </c>
      <c r="E25" t="s">
        <v>10</v>
      </c>
    </row>
    <row r="26" spans="1:8">
      <c r="A26" t="s">
        <v>59</v>
      </c>
      <c r="B26" t="b">
        <v>0</v>
      </c>
      <c r="D26" t="s">
        <v>60</v>
      </c>
      <c r="E26" t="s">
        <v>20</v>
      </c>
    </row>
    <row r="27" spans="1:8">
      <c r="A27" t="s">
        <v>61</v>
      </c>
      <c r="B27" t="b">
        <v>0</v>
      </c>
      <c r="D27" t="s">
        <v>62</v>
      </c>
      <c r="E27" t="s">
        <v>63</v>
      </c>
    </row>
    <row r="28" spans="1:8">
      <c r="A28" t="s">
        <v>64</v>
      </c>
      <c r="B28" t="b">
        <v>0</v>
      </c>
      <c r="D28" t="s">
        <v>65</v>
      </c>
      <c r="E28" t="s">
        <v>63</v>
      </c>
    </row>
    <row r="29" spans="1:8">
      <c r="A29" t="s">
        <v>66</v>
      </c>
      <c r="B29" t="b">
        <v>0</v>
      </c>
      <c r="D29" t="s">
        <v>67</v>
      </c>
      <c r="E29" t="s">
        <v>63</v>
      </c>
    </row>
    <row r="30" spans="1:8">
      <c r="A30" t="s">
        <v>68</v>
      </c>
      <c r="B30" t="b">
        <v>0</v>
      </c>
      <c r="D30" t="s">
        <v>69</v>
      </c>
      <c r="E30" t="s">
        <v>20</v>
      </c>
    </row>
    <row r="31" spans="1:8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H7" sqref="H7"/>
    </sheetView>
  </sheetViews>
  <sheetFormatPr defaultRowHeight="15"/>
  <sheetData/>
  <sortState ref="A2:D117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T58"/>
  <sheetViews>
    <sheetView topLeftCell="A4" workbookViewId="0">
      <selection activeCell="E49" sqref="E49"/>
    </sheetView>
  </sheetViews>
  <sheetFormatPr defaultRowHeight="15"/>
  <sheetData>
    <row r="1" spans="1:17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>
      <c r="D10" t="s">
        <v>113</v>
      </c>
      <c r="I10" t="s">
        <v>114</v>
      </c>
      <c r="N10" t="s">
        <v>115</v>
      </c>
    </row>
    <row r="13" spans="1:17">
      <c r="D13" t="s">
        <v>116</v>
      </c>
    </row>
    <row r="14" spans="1:17">
      <c r="D14" s="10" t="s">
        <v>4</v>
      </c>
      <c r="E14" s="10" t="s">
        <v>5</v>
      </c>
    </row>
    <row r="15" spans="1:17">
      <c r="D15">
        <v>0</v>
      </c>
      <c r="E15">
        <v>1000</v>
      </c>
    </row>
    <row r="16" spans="1:17">
      <c r="D16">
        <v>0.5</v>
      </c>
      <c r="E16">
        <v>1000</v>
      </c>
    </row>
    <row r="17" spans="1:16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>
      <c r="A34">
        <v>0</v>
      </c>
      <c r="B34">
        <v>1</v>
      </c>
      <c r="C34">
        <v>0</v>
      </c>
      <c r="D34">
        <v>0.8</v>
      </c>
    </row>
    <row r="35" spans="1:16">
      <c r="A35">
        <v>0</v>
      </c>
      <c r="B35">
        <v>1000</v>
      </c>
      <c r="C35">
        <v>0</v>
      </c>
      <c r="D35">
        <v>0.9</v>
      </c>
    </row>
    <row r="36" spans="1:16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>
      <c r="I37">
        <v>416</v>
      </c>
      <c r="J37">
        <v>104</v>
      </c>
      <c r="K37" t="s">
        <v>96</v>
      </c>
    </row>
    <row r="38" spans="1:16">
      <c r="I38">
        <v>416</v>
      </c>
      <c r="J38">
        <v>52</v>
      </c>
      <c r="K38" t="s">
        <v>95</v>
      </c>
    </row>
    <row r="39" spans="1:16">
      <c r="I39">
        <v>364</v>
      </c>
      <c r="J39">
        <v>208</v>
      </c>
      <c r="K39" t="s">
        <v>97</v>
      </c>
    </row>
    <row r="40" spans="1:16">
      <c r="I40">
        <v>364</v>
      </c>
      <c r="J40">
        <v>156</v>
      </c>
      <c r="K40" t="s">
        <v>103</v>
      </c>
    </row>
    <row r="41" spans="1:16">
      <c r="I41">
        <v>364</v>
      </c>
      <c r="J41">
        <v>104</v>
      </c>
      <c r="K41" t="s">
        <v>98</v>
      </c>
    </row>
    <row r="42" spans="1:16">
      <c r="I42">
        <v>364</v>
      </c>
      <c r="J42">
        <v>52</v>
      </c>
      <c r="K42" t="s">
        <v>99</v>
      </c>
    </row>
    <row r="43" spans="1:16">
      <c r="I43">
        <v>312</v>
      </c>
      <c r="J43">
        <v>208</v>
      </c>
      <c r="K43" t="s">
        <v>100</v>
      </c>
    </row>
    <row r="44" spans="1:16">
      <c r="I44">
        <v>312</v>
      </c>
      <c r="J44">
        <v>156</v>
      </c>
      <c r="K44" t="s">
        <v>104</v>
      </c>
    </row>
    <row r="45" spans="1:16">
      <c r="I45">
        <v>312</v>
      </c>
      <c r="J45">
        <v>104</v>
      </c>
      <c r="K45" t="s">
        <v>101</v>
      </c>
    </row>
    <row r="46" spans="1:16">
      <c r="I46">
        <v>312</v>
      </c>
      <c r="J46">
        <v>52</v>
      </c>
      <c r="K46" t="s">
        <v>102</v>
      </c>
    </row>
    <row r="47" spans="1:16">
      <c r="I47">
        <v>260</v>
      </c>
      <c r="J47">
        <v>156</v>
      </c>
      <c r="K47" t="s">
        <v>105</v>
      </c>
    </row>
    <row r="48" spans="1:16">
      <c r="I48">
        <v>260</v>
      </c>
      <c r="J48">
        <v>104</v>
      </c>
      <c r="K48" t="s">
        <v>106</v>
      </c>
    </row>
    <row r="49" spans="1:20">
      <c r="I49">
        <v>260</v>
      </c>
      <c r="J49">
        <v>52</v>
      </c>
      <c r="K49" t="s">
        <v>107</v>
      </c>
    </row>
    <row r="52" spans="1:20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>
      <c r="I58">
        <v>0.7</v>
      </c>
      <c r="J58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WFA</vt:lpstr>
      <vt:lpstr>Statement</vt:lpstr>
      <vt:lpstr>Back-test</vt:lpstr>
      <vt:lpstr>Hidden Settings</vt:lpstr>
      <vt:lpstr>Sorting</vt:lpstr>
      <vt:lpstr>Experiments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Raman Maladziashyn</cp:lastModifiedBy>
  <dcterms:created xsi:type="dcterms:W3CDTF">2020-09-21T11:33:14Z</dcterms:created>
  <dcterms:modified xsi:type="dcterms:W3CDTF">2022-06-22T18:07:20Z</dcterms:modified>
</cp:coreProperties>
</file>